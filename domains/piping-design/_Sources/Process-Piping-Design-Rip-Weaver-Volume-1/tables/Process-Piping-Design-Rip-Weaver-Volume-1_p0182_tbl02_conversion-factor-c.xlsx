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</cols>
  <sheetData>
    <row r="1">
      <c r="A1" s="1" t="inlineStr">
        <is>
          <t>Candle/square centimeter</t>
        </is>
      </c>
      <c r="B1" s="1" t="inlineStr">
        <is>
          <t>x 3.142</t>
        </is>
      </c>
      <c r="C1" s="1">
        <f> Lamberts</f>
        <v/>
      </c>
    </row>
    <row r="2">
      <c r="A2" s="1" t="inlineStr">
        <is>
          <t>Candle/square inch</t>
        </is>
      </c>
      <c r="B2" s="1" t="inlineStr">
        <is>
          <t>x 0.487</t>
        </is>
      </c>
      <c r="C2" s="1">
        <f> Lamberts</f>
        <v/>
      </c>
    </row>
    <row r="3">
      <c r="A3" s="1" t="inlineStr">
        <is>
          <t>Centares</t>
        </is>
      </c>
      <c r="B3" s="1" t="inlineStr">
        <is>
          <t>x 1.0</t>
        </is>
      </c>
      <c r="C3" s="1">
        <f> Square meters</f>
        <v/>
      </c>
    </row>
    <row r="4">
      <c r="A4" s="1" t="inlineStr">
        <is>
          <t>Centigrade</t>
        </is>
      </c>
      <c r="B4" s="1" t="inlineStr">
        <is>
          <t>x 9/5 + 32</t>
        </is>
      </c>
      <c r="C4" s="1">
        <f> Fahrenheit</f>
        <v/>
      </c>
    </row>
    <row r="5">
      <c r="A5" s="1" t="inlineStr">
        <is>
          <t>Centiliter</t>
        </is>
      </c>
      <c r="B5" s="1" t="inlineStr">
        <is>
          <t>x 0.3382</t>
        </is>
      </c>
      <c r="C5" s="1">
        <f> Fluid ounce (USA)</f>
        <v/>
      </c>
    </row>
    <row r="6">
      <c r="A6" s="1" t="inlineStr">
        <is>
          <t>Centiliter</t>
        </is>
      </c>
      <c r="B6" s="1" t="inlineStr">
        <is>
          <t>x 0.6103</t>
        </is>
      </c>
      <c r="C6" s="1">
        <f> Cubic inch</f>
        <v/>
      </c>
    </row>
    <row r="7">
      <c r="A7" s="1" t="inlineStr">
        <is>
          <t>Centiliter</t>
        </is>
      </c>
      <c r="B7" s="1" t="inlineStr">
        <is>
          <t>x 2.705</t>
        </is>
      </c>
      <c r="C7" s="1">
        <f> Drams</f>
        <v/>
      </c>
    </row>
    <row r="8">
      <c r="A8" s="1" t="inlineStr">
        <is>
          <t>Centimeters</t>
        </is>
      </c>
      <c r="B8" s="1" t="inlineStr">
        <is>
          <t>x 3.281 x 10⁻²</t>
        </is>
      </c>
      <c r="C8" s="1">
        <f> Feet</f>
        <v/>
      </c>
    </row>
    <row r="9">
      <c r="A9" s="1" t="inlineStr">
        <is>
          <t>Centimeters</t>
        </is>
      </c>
      <c r="B9" s="1" t="inlineStr">
        <is>
          <t>x 0.3937</t>
        </is>
      </c>
      <c r="C9" s="1">
        <f> Inches</f>
        <v/>
      </c>
    </row>
    <row r="10">
      <c r="A10" s="1" t="inlineStr">
        <is>
          <t>Centimeters</t>
        </is>
      </c>
      <c r="B10" s="1" t="inlineStr">
        <is>
          <t>x 1.094 x 10⁻²</t>
        </is>
      </c>
      <c r="C10" s="1">
        <f> Yards</f>
        <v/>
      </c>
    </row>
    <row r="11">
      <c r="A11" s="1" t="inlineStr">
        <is>
          <t>Centimeters of mercury</t>
        </is>
      </c>
      <c r="B11" s="1" t="inlineStr">
        <is>
          <t>x 0.01316</t>
        </is>
      </c>
      <c r="C11" s="1">
        <f> Atmospheres</f>
        <v/>
      </c>
    </row>
    <row r="12">
      <c r="A12" s="1" t="inlineStr">
        <is>
          <t>Centimeters of mercury</t>
        </is>
      </c>
      <c r="B12" s="1" t="inlineStr">
        <is>
          <t>x 0.4461</t>
        </is>
      </c>
      <c r="C12" s="1">
        <f> Feet of water</f>
        <v/>
      </c>
    </row>
    <row r="13">
      <c r="A13" s="1" t="inlineStr">
        <is>
          <t>Centimeters of mercury</t>
        </is>
      </c>
      <c r="B13" s="1" t="inlineStr">
        <is>
          <t>x 136</t>
        </is>
      </c>
      <c r="C13" s="1">
        <f> Kilograms/square meter</f>
        <v/>
      </c>
    </row>
    <row r="14">
      <c r="A14" s="1" t="inlineStr">
        <is>
          <t>Centimeters of mercury</t>
        </is>
      </c>
      <c r="B14" s="1" t="inlineStr">
        <is>
          <t>x 27.85</t>
        </is>
      </c>
      <c r="C14" s="1">
        <f> Pounds/square foot</f>
        <v/>
      </c>
    </row>
    <row r="15">
      <c r="A15" s="1" t="inlineStr">
        <is>
          <t>Centimeters of mercury</t>
        </is>
      </c>
      <c r="B15" s="1" t="inlineStr">
        <is>
          <t>x 0.1934</t>
        </is>
      </c>
      <c r="C15" s="1">
        <f> Pounds/square inch</f>
        <v/>
      </c>
    </row>
    <row r="16">
      <c r="A16" s="1" t="inlineStr">
        <is>
          <t>Centimeters/second</t>
        </is>
      </c>
      <c r="B16" s="1" t="inlineStr">
        <is>
          <t>x 1.1969</t>
        </is>
      </c>
      <c r="C16" s="1">
        <f> Feet/minute</f>
        <v/>
      </c>
    </row>
    <row r="17">
      <c r="A17" s="1" t="inlineStr">
        <is>
          <t>Centimeters/second</t>
        </is>
      </c>
      <c r="B17" s="1" t="inlineStr">
        <is>
          <t>x 0.03281</t>
        </is>
      </c>
      <c r="C17" s="1">
        <f> Feet/second</f>
        <v/>
      </c>
    </row>
    <row r="18">
      <c r="A18" s="1" t="inlineStr">
        <is>
          <t>Centimeters/second</t>
        </is>
      </c>
      <c r="B18" s="1" t="inlineStr">
        <is>
          <t>x 0.036</t>
        </is>
      </c>
      <c r="C18" s="1">
        <f> Kilometers/hour</f>
        <v/>
      </c>
    </row>
    <row r="19">
      <c r="A19" s="1" t="inlineStr">
        <is>
          <t>Centimeters/second</t>
        </is>
      </c>
      <c r="B19" s="1" t="inlineStr">
        <is>
          <t>x 0.1943</t>
        </is>
      </c>
      <c r="C19" s="1">
        <f> Knots</f>
        <v/>
      </c>
    </row>
    <row r="20">
      <c r="A20" s="1" t="inlineStr">
        <is>
          <t>Centimeters/second</t>
        </is>
      </c>
      <c r="B20" s="1" t="inlineStr">
        <is>
          <t>x 0.6</t>
        </is>
      </c>
      <c r="C20" s="1">
        <f> Meters/minute</f>
        <v/>
      </c>
    </row>
    <row r="21">
      <c r="A21" s="1" t="inlineStr">
        <is>
          <t>Centimeters/second</t>
        </is>
      </c>
      <c r="B21" s="1" t="inlineStr">
        <is>
          <t>x 0.02237</t>
        </is>
      </c>
      <c r="C21" s="1">
        <f> Miles/hour</f>
        <v/>
      </c>
    </row>
    <row r="22">
      <c r="A22" s="1" t="inlineStr">
        <is>
          <t>Chain</t>
        </is>
      </c>
      <c r="B22" s="1" t="inlineStr">
        <is>
          <t>x 792</t>
        </is>
      </c>
      <c r="C22" s="1">
        <f> Inches</f>
        <v/>
      </c>
    </row>
    <row r="23">
      <c r="A23" s="1" t="inlineStr">
        <is>
          <t>Chain</t>
        </is>
      </c>
      <c r="B23" s="1" t="inlineStr">
        <is>
          <t>x 20.12</t>
        </is>
      </c>
      <c r="C23" s="1">
        <f> Meters</f>
        <v/>
      </c>
    </row>
    <row r="24">
      <c r="A24" s="1" t="inlineStr">
        <is>
          <t>Cords</t>
        </is>
      </c>
      <c r="B24" s="1" t="inlineStr">
        <is>
          <t>x 8</t>
        </is>
      </c>
      <c r="C24" s="1">
        <f> Cord feet</f>
        <v/>
      </c>
    </row>
    <row r="25">
      <c r="A25" s="1" t="inlineStr">
        <is>
          <t>Cord feet</t>
        </is>
      </c>
      <c r="B25" s="1" t="inlineStr">
        <is>
          <t>x 16</t>
        </is>
      </c>
      <c r="C25" s="1">
        <f> Cubic feet</f>
        <v/>
      </c>
    </row>
    <row r="26">
      <c r="A26" s="1" t="inlineStr">
        <is>
          <t>Coulombs</t>
        </is>
      </c>
      <c r="B26" s="1" t="inlineStr">
        <is>
          <t>x 2.998 x 10⁹</t>
        </is>
      </c>
      <c r="C26" s="1">
        <f> Statcoulombs</f>
        <v/>
      </c>
    </row>
    <row r="27">
      <c r="A27" s="1" t="inlineStr">
        <is>
          <t>Coulombs</t>
        </is>
      </c>
      <c r="B27" s="1" t="inlineStr">
        <is>
          <t>x 1.036 x 10⁻⁴</t>
        </is>
      </c>
      <c r="C27" s="1">
        <f> Faradays</f>
        <v/>
      </c>
    </row>
    <row r="28">
      <c r="A28" s="1" t="inlineStr">
        <is>
          <t>Coulombs/square centimeter</t>
        </is>
      </c>
      <c r="B28" s="1" t="inlineStr">
        <is>
          <t>x 64.52</t>
        </is>
      </c>
      <c r="C28" s="1">
        <f> Coulombs/square inch</f>
        <v/>
      </c>
    </row>
    <row r="29">
      <c r="A29" s="1" t="inlineStr">
        <is>
          <t>Coulombs/square centimeter</t>
        </is>
      </c>
      <c r="B29" s="1" t="inlineStr">
        <is>
          <t>x 10⁴</t>
        </is>
      </c>
      <c r="C29" s="1">
        <f> Coulombs/square meter</f>
        <v/>
      </c>
    </row>
    <row r="30">
      <c r="A30" s="1" t="inlineStr">
        <is>
          <t>Coulombs/square inch</t>
        </is>
      </c>
      <c r="B30" s="1" t="inlineStr">
        <is>
          <t>x 0.155</t>
        </is>
      </c>
      <c r="C30" s="1">
        <f> Coulombs/square centimeter</f>
        <v/>
      </c>
    </row>
    <row r="31">
      <c r="A31" s="1" t="inlineStr">
        <is>
          <t>Coulombs/square inch</t>
        </is>
      </c>
      <c r="B31" s="1" t="inlineStr">
        <is>
          <t>x 1,550</t>
        </is>
      </c>
      <c r="C31" s="1">
        <f> Coulombs/square meter</f>
        <v/>
      </c>
    </row>
    <row r="32">
      <c r="A32" s="1" t="inlineStr">
        <is>
          <t>Coulombs/square meter</t>
        </is>
      </c>
      <c r="B32" s="1" t="inlineStr">
        <is>
          <t>x 3.531 x 10⁻³</t>
        </is>
      </c>
      <c r="C32" s="1">
        <f> Cubic feet</f>
        <v/>
      </c>
    </row>
    <row r="33">
      <c r="A33" s="1" t="inlineStr">
        <is>
          <t>Cubic centimeters</t>
        </is>
      </c>
      <c r="B33" s="1" t="inlineStr">
        <is>
          <t>x 0.06102</t>
        </is>
      </c>
      <c r="C33" s="1">
        <f> Cubic inches</f>
        <v/>
      </c>
    </row>
    <row r="34">
      <c r="A34" s="1" t="inlineStr">
        <is>
          <t>Cubic centimeters</t>
        </is>
      </c>
      <c r="B34" s="1" t="inlineStr">
        <is>
          <t>x 10⁻⁶</t>
        </is>
      </c>
      <c r="C34" s="1">
        <f> Cubic meters</f>
        <v/>
      </c>
    </row>
    <row r="35">
      <c r="A35" s="1" t="inlineStr">
        <is>
          <t>Cubic centimeters</t>
        </is>
      </c>
      <c r="B35" s="1" t="inlineStr">
        <is>
          <t>x 1.308 x 10⁻⁶</t>
        </is>
      </c>
      <c r="C35" s="1">
        <f> Cubic yards</f>
        <v/>
      </c>
    </row>
    <row r="36">
      <c r="A36" s="1" t="inlineStr">
        <is>
          <t>Cubic centimeters</t>
        </is>
      </c>
      <c r="B36" s="1" t="inlineStr">
        <is>
          <t>x 2.624 x 10⁻⁴</t>
        </is>
      </c>
      <c r="C36" s="1">
        <f> Gallons (USA liquid)</f>
        <v/>
      </c>
    </row>
    <row r="37">
      <c r="A37" s="1" t="inlineStr">
        <is>
          <t>Cubic centimeters</t>
        </is>
      </c>
      <c r="B37" s="1" t="inlineStr">
        <is>
          <t>x 0.001</t>
        </is>
      </c>
      <c r="C37" s="1">
        <f> Liters</f>
        <v/>
      </c>
    </row>
    <row r="39">
      <c r="A39" t="inlineStr">
        <is>
          <t>Caption: Conversion factor C (continued on following page)</t>
        </is>
      </c>
    </row>
    <row r="40">
      <c r="A40" t="inlineStr">
        <is>
          <t>Extracted from Process-Piping-Design-Rip-Weaver-Volume-1 page 182,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C (continued on following page)</dc:title>
  <dc:description xmlns:dc="http://purl.org/dc/elements/1.1/">Process-Piping-Design-Rip-Weaver-Volume-1 p0182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2026-05-17T17:01:27Z</dcterms:modified>
  <cp:lastModifiedBy/>
</cp:coreProperties>
</file>