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h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7" customWidth="1" min="3" max="3"/>
  </cols>
  <sheetData>
    <row r="1">
      <c r="A1" s="1" t="inlineStr">
        <is>
          <t>From</t>
        </is>
      </c>
      <c r="B1" s="1" t="inlineStr">
        <is>
          <t>Factor</t>
        </is>
      </c>
      <c r="C1" s="1" t="inlineStr">
        <is>
          <t>To</t>
        </is>
      </c>
    </row>
    <row r="2">
      <c r="A2" s="2" t="inlineStr">
        <is>
          <t>Hectare</t>
        </is>
      </c>
      <c r="B2" s="2" t="inlineStr">
        <is>
          <t>x 0.01</t>
        </is>
      </c>
      <c r="C2" s="2">
        <f> Square kilometer</f>
        <v/>
      </c>
    </row>
    <row r="3">
      <c r="A3" s="2" t="inlineStr">
        <is>
          <t>Hectare</t>
        </is>
      </c>
      <c r="B3" s="2" t="inlineStr">
        <is>
          <t>x 10,000</t>
        </is>
      </c>
      <c r="C3" s="2">
        <f> Square meters</f>
        <v/>
      </c>
    </row>
    <row r="4">
      <c r="A4" s="2" t="inlineStr">
        <is>
          <t>Hectare</t>
        </is>
      </c>
      <c r="B4" s="2" t="inlineStr">
        <is>
          <t>x 3.861 x 10⁻³</t>
        </is>
      </c>
      <c r="C4" s="2">
        <f> Square miles</f>
        <v/>
      </c>
    </row>
    <row r="5">
      <c r="A5" s="2" t="inlineStr">
        <is>
          <t>Hectare</t>
        </is>
      </c>
      <c r="B5" s="2" t="inlineStr">
        <is>
          <t>x 11,960</t>
        </is>
      </c>
      <c r="C5" s="2">
        <f> Square yard</f>
        <v/>
      </c>
    </row>
    <row r="6">
      <c r="A6" s="2" t="inlineStr">
        <is>
          <t>Hectogram</t>
        </is>
      </c>
      <c r="B6" s="2" t="inlineStr">
        <is>
          <t>x 100</t>
        </is>
      </c>
      <c r="C6" s="2">
        <f> Gram</f>
        <v/>
      </c>
    </row>
    <row r="7">
      <c r="A7" s="2" t="inlineStr">
        <is>
          <t>Hectoliter</t>
        </is>
      </c>
      <c r="B7" s="2" t="inlineStr">
        <is>
          <t>x 3.532</t>
        </is>
      </c>
      <c r="C7" s="2">
        <f> Cubic feet</f>
        <v/>
      </c>
    </row>
    <row r="8">
      <c r="A8" s="2" t="inlineStr">
        <is>
          <t>Hectoliter</t>
        </is>
      </c>
      <c r="B8" s="2" t="inlineStr">
        <is>
          <t>x 0.1</t>
        </is>
      </c>
      <c r="C8" s="2">
        <f> Cubic meter</f>
        <v/>
      </c>
    </row>
    <row r="9">
      <c r="A9" s="2" t="inlineStr">
        <is>
          <t>Hectoliter</t>
        </is>
      </c>
      <c r="B9" s="2" t="inlineStr">
        <is>
          <t>x 0.1308</t>
        </is>
      </c>
      <c r="C9" s="2">
        <f> Cubic yard</f>
        <v/>
      </c>
    </row>
    <row r="10">
      <c r="A10" s="2" t="inlineStr">
        <is>
          <t>Hectoliter</t>
        </is>
      </c>
      <c r="B10" s="2" t="inlineStr">
        <is>
          <t>x 26.42</t>
        </is>
      </c>
      <c r="C10" s="2">
        <f> Gallon, USA</f>
        <v/>
      </c>
    </row>
    <row r="11">
      <c r="A11" s="2" t="inlineStr">
        <is>
          <t>Hectoliter</t>
        </is>
      </c>
      <c r="B11" s="2" t="inlineStr">
        <is>
          <t>x 100</t>
        </is>
      </c>
      <c r="C11" s="2">
        <f> Liter</f>
        <v/>
      </c>
    </row>
    <row r="12">
      <c r="A12" s="2" t="inlineStr">
        <is>
          <t>Hectometer</t>
        </is>
      </c>
      <c r="B12" s="2" t="inlineStr">
        <is>
          <t>x 328.089</t>
        </is>
      </c>
      <c r="C12" s="2">
        <f> Feet</f>
        <v/>
      </c>
    </row>
    <row r="13">
      <c r="A13" s="2" t="inlineStr">
        <is>
          <t>Hectometer</t>
        </is>
      </c>
      <c r="B13" s="2" t="inlineStr">
        <is>
          <t>x 100</t>
        </is>
      </c>
      <c r="C13" s="2">
        <f> Meter</f>
        <v/>
      </c>
    </row>
    <row r="14">
      <c r="A14" s="2" t="inlineStr">
        <is>
          <t>Hectometer</t>
        </is>
      </c>
      <c r="B14" s="2" t="inlineStr">
        <is>
          <t>x 0.06214</t>
        </is>
      </c>
      <c r="C14" s="2">
        <f> Mile, statute, USA</f>
        <v/>
      </c>
    </row>
    <row r="15">
      <c r="A15" s="2" t="inlineStr">
        <is>
          <t>Hectometer</t>
        </is>
      </c>
      <c r="B15" s="2" t="inlineStr">
        <is>
          <t>x 109.36</t>
        </is>
      </c>
      <c r="C15" s="2">
        <f> Yard</f>
        <v/>
      </c>
    </row>
    <row r="16">
      <c r="A16" s="2" t="inlineStr">
        <is>
          <t>Megawatts</t>
        </is>
      </c>
      <c r="B16" s="2" t="inlineStr">
        <is>
          <t>x 1,000</t>
        </is>
      </c>
      <c r="C16" s="2">
        <f> Watts</f>
        <v/>
      </c>
    </row>
    <row r="17">
      <c r="A17" s="2" t="inlineStr">
        <is>
          <t>Henries</t>
        </is>
      </c>
      <c r="B17" s="2" t="inlineStr">
        <is>
          <t>x 1,000</t>
        </is>
      </c>
      <c r="C17" s="2">
        <f> Millihenries</f>
        <v/>
      </c>
    </row>
    <row r="18">
      <c r="A18" s="2" t="inlineStr">
        <is>
          <t>Hogsheads, British</t>
        </is>
      </c>
      <c r="B18" s="2" t="inlineStr">
        <is>
          <t>x 10.114</t>
        </is>
      </c>
      <c r="C18" s="2">
        <f> Cubic feet</f>
        <v/>
      </c>
    </row>
    <row r="19">
      <c r="A19" s="2" t="inlineStr">
        <is>
          <t>Hogsheads, British</t>
        </is>
      </c>
      <c r="B19" s="2" t="inlineStr">
        <is>
          <t>x 8.42184</t>
        </is>
      </c>
      <c r="C19" s="2">
        <f> Cubic feet</f>
        <v/>
      </c>
    </row>
    <row r="20">
      <c r="A20" s="2" t="inlineStr">
        <is>
          <t>Hogsheads, USA</t>
        </is>
      </c>
      <c r="B20" s="2" t="inlineStr">
        <is>
          <t>x 63</t>
        </is>
      </c>
      <c r="C20" s="2">
        <f> Gallons, USA</f>
        <v/>
      </c>
    </row>
    <row r="21">
      <c r="A21" s="2" t="inlineStr">
        <is>
          <t>Hogsheads, USA</t>
        </is>
      </c>
      <c r="B21" s="2" t="inlineStr">
        <is>
          <t>x 238.476</t>
        </is>
      </c>
      <c r="C21" s="2">
        <f> Liter</f>
        <v/>
      </c>
    </row>
    <row r="22">
      <c r="A22" s="2" t="inlineStr">
        <is>
          <t>Hogsheads, USA</t>
        </is>
      </c>
      <c r="B22" s="2" t="inlineStr">
        <is>
          <t>x 504</t>
        </is>
      </c>
      <c r="C22" s="2">
        <f> Pint</f>
        <v/>
      </c>
    </row>
    <row r="23">
      <c r="A23" s="2" t="inlineStr">
        <is>
          <t>Hogsheads, USA</t>
        </is>
      </c>
      <c r="B23" s="2" t="inlineStr">
        <is>
          <t>x 252</t>
        </is>
      </c>
      <c r="C23" s="2">
        <f> Quart</f>
        <v/>
      </c>
    </row>
    <row r="24">
      <c r="A24" s="2" t="inlineStr">
        <is>
          <t>Horsepower, USA</t>
        </is>
      </c>
      <c r="B24" s="2" t="inlineStr">
        <is>
          <t>x 42.44</t>
        </is>
      </c>
      <c r="C24" s="2">
        <f> Btu/minute</f>
        <v/>
      </c>
    </row>
    <row r="25">
      <c r="A25" s="2" t="inlineStr">
        <is>
          <t>Horsepower, USA</t>
        </is>
      </c>
      <c r="B25" s="2" t="inlineStr">
        <is>
          <t>x 33,000</t>
        </is>
      </c>
      <c r="C25" s="2">
        <f> Foot-pounds/minute</f>
        <v/>
      </c>
    </row>
    <row r="26">
      <c r="A26" s="2" t="inlineStr">
        <is>
          <t>Horsepower, USA</t>
        </is>
      </c>
      <c r="B26" s="2" t="inlineStr">
        <is>
          <t>x 550</t>
        </is>
      </c>
      <c r="C26" s="2">
        <f> Foot-pounds/second</f>
        <v/>
      </c>
    </row>
    <row r="27">
      <c r="A27" s="2" t="inlineStr">
        <is>
          <t>Horsepower, USA</t>
        </is>
      </c>
      <c r="B27" s="2" t="inlineStr">
        <is>
          <t>x 0.7457</t>
        </is>
      </c>
      <c r="C27" s="2">
        <f> Kilowatts</f>
        <v/>
      </c>
    </row>
    <row r="28">
      <c r="A28" s="2" t="inlineStr">
        <is>
          <t>Horsepower, boiler</t>
        </is>
      </c>
      <c r="B28" s="2" t="inlineStr">
        <is>
          <t>x 33.479</t>
        </is>
      </c>
      <c r="C28" s="2">
        <f> Btu/hour</f>
        <v/>
      </c>
    </row>
    <row r="29">
      <c r="A29" s="2" t="inlineStr">
        <is>
          <t>Horsepower, boiler</t>
        </is>
      </c>
      <c r="B29" s="2" t="inlineStr">
        <is>
          <t>x 34.5</t>
        </is>
      </c>
      <c r="C29" s="2">
        <f> Pounds water/hour</f>
        <v/>
      </c>
    </row>
    <row r="30">
      <c r="A30" s="2" t="inlineStr">
        <is>
          <t>Horsepower, boiler</t>
        </is>
      </c>
      <c r="B30" s="2" t="inlineStr">
        <is>
          <t>x 9.803</t>
        </is>
      </c>
      <c r="C30" s="2">
        <f> Kilowatts</f>
        <v/>
      </c>
    </row>
    <row r="31">
      <c r="A31" s="2" t="inlineStr">
        <is>
          <t>Horsepower, electric</t>
        </is>
      </c>
      <c r="B31" s="2" t="inlineStr">
        <is>
          <t>x 0.7072</t>
        </is>
      </c>
      <c r="C31" s="2">
        <f> Btu/second</f>
        <v/>
      </c>
    </row>
    <row r="32">
      <c r="A32" s="2" t="inlineStr">
        <is>
          <t>Horsepower, electric</t>
        </is>
      </c>
      <c r="B32" s="2" t="inlineStr">
        <is>
          <t>x 746</t>
        </is>
      </c>
      <c r="C32" s="2">
        <f> Joule/second</f>
        <v/>
      </c>
    </row>
    <row r="33">
      <c r="A33" s="2" t="inlineStr">
        <is>
          <t>Horsepower, electric</t>
        </is>
      </c>
      <c r="B33" s="2" t="inlineStr">
        <is>
          <t>x 0.746</t>
        </is>
      </c>
      <c r="C33" s="2">
        <f> Kilowatts</f>
        <v/>
      </c>
    </row>
    <row r="34">
      <c r="A34" s="2" t="inlineStr">
        <is>
          <t>Horsepower, electric</t>
        </is>
      </c>
      <c r="B34" s="2" t="inlineStr">
        <is>
          <t>x 746</t>
        </is>
      </c>
      <c r="C34" s="2">
        <f> Watts</f>
        <v/>
      </c>
    </row>
    <row r="35">
      <c r="A35" s="2" t="inlineStr">
        <is>
          <t>Horsepower, hours, USA</t>
        </is>
      </c>
      <c r="B35" s="2" t="inlineStr">
        <is>
          <t>x 2,547</t>
        </is>
      </c>
      <c r="C35" s="2">
        <f> Btu</f>
        <v/>
      </c>
    </row>
    <row r="36">
      <c r="A36" s="2" t="inlineStr">
        <is>
          <t>Horsepower, hours, USA</t>
        </is>
      </c>
      <c r="B36" s="2" t="inlineStr">
        <is>
          <t>x 2.6845 x 10¹³</t>
        </is>
      </c>
      <c r="C36" s="2">
        <f> Ergs</f>
        <v/>
      </c>
    </row>
    <row r="37">
      <c r="A37" s="2" t="inlineStr">
        <is>
          <t>Horsepower, hours, USA</t>
        </is>
      </c>
      <c r="B37" s="2" t="inlineStr">
        <is>
          <t>x 1.98 x 10⁶</t>
        </is>
      </c>
      <c r="C37" s="2">
        <f> Foot-pounds</f>
        <v/>
      </c>
    </row>
    <row r="38">
      <c r="A38" s="2" t="inlineStr">
        <is>
          <t>Horsepower, hours, USA</t>
        </is>
      </c>
      <c r="B38" s="2" t="inlineStr">
        <is>
          <t>x 641,190</t>
        </is>
      </c>
      <c r="C38" s="2">
        <f> Gram-calories</f>
        <v/>
      </c>
    </row>
    <row r="39">
      <c r="A39" s="2" t="inlineStr">
        <is>
          <t>Horsepower, hours, USA</t>
        </is>
      </c>
      <c r="B39" s="2" t="inlineStr">
        <is>
          <t>x 1.01387</t>
        </is>
      </c>
      <c r="C39" s="2">
        <f> Horsepower-hour, metric</f>
        <v/>
      </c>
    </row>
    <row r="40">
      <c r="A40" s="2" t="inlineStr">
        <is>
          <t>Horsepower, hours, USA</t>
        </is>
      </c>
      <c r="B40" s="2" t="inlineStr">
        <is>
          <t>x 2.376 x 10⁴</t>
        </is>
      </c>
      <c r="C40" s="2">
        <f> Inch-pound</f>
        <v/>
      </c>
    </row>
    <row r="41">
      <c r="A41" s="2" t="inlineStr">
        <is>
          <t>Horsepower, hours, USA</t>
        </is>
      </c>
      <c r="B41" s="2" t="inlineStr">
        <is>
          <t>x 26.8453 x 10⁶</t>
        </is>
      </c>
      <c r="C41" s="2">
        <f> Joule</f>
        <v/>
      </c>
    </row>
    <row r="42">
      <c r="A42" s="2" t="inlineStr">
        <is>
          <t>Horsepower, hours, USA</t>
        </is>
      </c>
      <c r="B42" s="2" t="inlineStr">
        <is>
          <t>x 0.7457</t>
        </is>
      </c>
      <c r="C42" s="2">
        <f> Kilowatt-hour</f>
        <v/>
      </c>
    </row>
    <row r="43">
      <c r="A43" s="2" t="inlineStr">
        <is>
          <t>Horsepower-hours, metric</t>
        </is>
      </c>
      <c r="B43" s="2" t="inlineStr">
        <is>
          <t>x 2509.83</t>
        </is>
      </c>
      <c r="C43" s="2">
        <f> Btu</f>
        <v/>
      </c>
    </row>
    <row r="44">
      <c r="A44" s="2" t="inlineStr">
        <is>
          <t>Horsepower-hours, metric</t>
        </is>
      </c>
      <c r="B44" s="2" t="inlineStr">
        <is>
          <t>x 1.9529 x 10⁶</t>
        </is>
      </c>
      <c r="C44" s="2">
        <f> Foot-pounds</f>
        <v/>
      </c>
    </row>
    <row r="45">
      <c r="A45" s="2" t="inlineStr">
        <is>
          <t>Horsepower-hours, metric</t>
        </is>
      </c>
      <c r="B45" s="2" t="inlineStr">
        <is>
          <t>x 0.98632</t>
        </is>
      </c>
      <c r="C45" s="2">
        <f> Horsepower-hour, USA</f>
        <v/>
      </c>
    </row>
    <row r="46">
      <c r="A46" s="2" t="inlineStr">
        <is>
          <t>Horsepower-hours, metric</t>
        </is>
      </c>
      <c r="B46" s="2" t="inlineStr">
        <is>
          <t>x 632,467</t>
        </is>
      </c>
      <c r="C46" s="2">
        <f> Gram-calories</f>
        <v/>
      </c>
    </row>
    <row r="47">
      <c r="A47" s="2" t="inlineStr">
        <is>
          <t>Horsepower-hours, metric</t>
        </is>
      </c>
      <c r="B47" s="2" t="inlineStr">
        <is>
          <t>x 26.4761</t>
        </is>
      </c>
      <c r="C47" s="2">
        <f> Joule</f>
        <v/>
      </c>
    </row>
    <row r="49">
      <c r="A49" t="inlineStr">
        <is>
          <t>Caption: Conversion factor H (continued)</t>
        </is>
      </c>
    </row>
    <row r="50">
      <c r="A50" t="inlineStr">
        <is>
          <t>Continuation of Process-Piping-Design-Rip-Weaver-Volume-1 page 189 table 1</t>
        </is>
      </c>
    </row>
    <row r="51">
      <c r="A51" t="inlineStr">
        <is>
          <t>Extracted from Process-Piping-Design-Rip-Weaver-Volume-1 page 190,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H (continued)</dc:title>
  <dc:description xmlns:dc="http://purl.org/dc/elements/1.1/">Process-Piping-Design-Rip-Weaver-Volume-1 p0190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2026-05-17T17:01:28Z</dcterms:modified>
  <cp:lastModifiedBy/>
</cp:coreProperties>
</file>