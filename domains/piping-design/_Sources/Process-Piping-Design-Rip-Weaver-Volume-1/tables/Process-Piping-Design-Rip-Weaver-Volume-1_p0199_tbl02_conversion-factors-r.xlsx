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9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 get</t>
        </is>
      </c>
    </row>
    <row r="2">
      <c r="A2" s="2" t="inlineStr">
        <is>
          <t>Radians</t>
        </is>
      </c>
      <c r="B2" s="2" t="inlineStr">
        <is>
          <t>x 57.3</t>
        </is>
      </c>
      <c r="C2" s="2">
        <f> Degrees</f>
        <v/>
      </c>
    </row>
    <row r="3">
      <c r="A3" s="2" t="inlineStr">
        <is>
          <t>Radians</t>
        </is>
      </c>
      <c r="B3" s="2" t="inlineStr">
        <is>
          <t>x 3,438</t>
        </is>
      </c>
      <c r="C3" s="2">
        <f> Minutes</f>
        <v/>
      </c>
    </row>
    <row r="4">
      <c r="A4" s="2" t="inlineStr">
        <is>
          <t>Radians</t>
        </is>
      </c>
      <c r="B4" s="2" t="inlineStr">
        <is>
          <t>x 0.6366</t>
        </is>
      </c>
      <c r="C4" s="2">
        <f> Quadrants</f>
        <v/>
      </c>
    </row>
    <row r="5">
      <c r="A5" s="2" t="inlineStr">
        <is>
          <t>Radians</t>
        </is>
      </c>
      <c r="B5" s="2" t="inlineStr">
        <is>
          <t>x 2.063 x 10⁵</t>
        </is>
      </c>
      <c r="C5" s="2">
        <f> Seconds</f>
        <v/>
      </c>
    </row>
    <row r="6">
      <c r="A6" s="2" t="inlineStr">
        <is>
          <t>Rod</t>
        </is>
      </c>
      <c r="B6" s="2" t="inlineStr">
        <is>
          <t>x 0.165</t>
        </is>
      </c>
      <c r="C6" s="2">
        <f> Chain, engineer</f>
        <v/>
      </c>
    </row>
    <row r="7">
      <c r="A7" s="2" t="inlineStr">
        <is>
          <t>Rod</t>
        </is>
      </c>
      <c r="B7" s="2" t="inlineStr">
        <is>
          <t>x 0.25</t>
        </is>
      </c>
      <c r="C7" s="2">
        <f> Chain, Gunters</f>
        <v/>
      </c>
    </row>
    <row r="8">
      <c r="A8" s="2" t="inlineStr">
        <is>
          <t>Rod</t>
        </is>
      </c>
      <c r="B8" s="2" t="inlineStr">
        <is>
          <t>x 16.5</t>
        </is>
      </c>
      <c r="C8" s="2">
        <f> Foot</f>
        <v/>
      </c>
    </row>
    <row r="9">
      <c r="A9" s="2" t="inlineStr">
        <is>
          <t>Rod</t>
        </is>
      </c>
      <c r="B9" s="2" t="inlineStr">
        <is>
          <t>x 0.025</t>
        </is>
      </c>
      <c r="C9" s="2">
        <f> Furlong</f>
        <v/>
      </c>
    </row>
    <row r="10">
      <c r="A10" s="2" t="inlineStr">
        <is>
          <t>Rod</t>
        </is>
      </c>
      <c r="B10" s="2" t="inlineStr">
        <is>
          <t>x 198</t>
        </is>
      </c>
      <c r="C10" s="2">
        <f> Inch</f>
        <v/>
      </c>
    </row>
    <row r="11">
      <c r="A11" s="2" t="inlineStr">
        <is>
          <t>Rod</t>
        </is>
      </c>
      <c r="B11" s="2" t="inlineStr">
        <is>
          <t>x 25</t>
        </is>
      </c>
      <c r="C11" s="2">
        <f> Link</f>
        <v/>
      </c>
    </row>
    <row r="12">
      <c r="A12" s="2" t="inlineStr">
        <is>
          <t>Rod</t>
        </is>
      </c>
      <c r="B12" s="2" t="inlineStr">
        <is>
          <t>x 5.029</t>
        </is>
      </c>
      <c r="C12" s="2">
        <f> Meter</f>
        <v/>
      </c>
    </row>
    <row r="13">
      <c r="A13" s="2" t="inlineStr">
        <is>
          <t>Rod</t>
        </is>
      </c>
      <c r="B13" s="2" t="inlineStr">
        <is>
          <t>x 5.5</t>
        </is>
      </c>
      <c r="C13" s="2">
        <f> Yard</f>
        <v/>
      </c>
    </row>
    <row r="15">
      <c r="A15" t="inlineStr">
        <is>
          <t>Caption: Conversion factors — R (Radians, Rod)</t>
        </is>
      </c>
    </row>
    <row r="16">
      <c r="A16" t="inlineStr">
        <is>
          <t>Extracted from Process-Piping-Design-Rip-Weaver-Volume-1 page 199,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R (Radians, Rod)</dc:title>
  <dc:description xmlns:dc="http://purl.org/dc/elements/1.1/">Process-Piping-Design-Rip-Weaver-Volume-1 p0199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