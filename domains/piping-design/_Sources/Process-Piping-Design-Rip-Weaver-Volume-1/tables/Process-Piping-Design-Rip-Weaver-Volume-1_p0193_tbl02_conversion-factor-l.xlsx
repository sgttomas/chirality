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1" customWidth="1" min="3" max="3"/>
  </cols>
  <sheetData>
    <row r="1">
      <c r="A1" s="1" t="inlineStr">
        <is>
          <t>From</t>
        </is>
      </c>
      <c r="B1" s="1" t="inlineStr">
        <is>
          <t>×</t>
        </is>
      </c>
      <c r="C1" s="1">
        <f> To</f>
        <v/>
      </c>
    </row>
    <row r="2">
      <c r="A2" s="2" t="inlineStr">
        <is>
          <t>League, land</t>
        </is>
      </c>
      <c r="B2" s="2" t="inlineStr">
        <is>
          <t>x 24</t>
        </is>
      </c>
      <c r="C2" s="2">
        <f> Furlong</f>
        <v/>
      </c>
    </row>
    <row r="3">
      <c r="A3" s="2" t="inlineStr">
        <is>
          <t>League, land</t>
        </is>
      </c>
      <c r="B3" s="2" t="inlineStr">
        <is>
          <t>x 4.828</t>
        </is>
      </c>
      <c r="C3" s="2">
        <f> Kilometer</f>
        <v/>
      </c>
    </row>
    <row r="4">
      <c r="A4" s="2" t="inlineStr">
        <is>
          <t>League, land</t>
        </is>
      </c>
      <c r="B4" s="2" t="inlineStr">
        <is>
          <t>x 3</t>
        </is>
      </c>
      <c r="C4" s="2">
        <f> Mile</f>
        <v/>
      </c>
    </row>
    <row r="5">
      <c r="A5" s="2" t="inlineStr">
        <is>
          <t>League, marine</t>
        </is>
      </c>
      <c r="B5" s="2" t="inlineStr">
        <is>
          <t>x 5.56</t>
        </is>
      </c>
      <c r="C5" s="2">
        <f> Kilometer</f>
        <v/>
      </c>
    </row>
    <row r="6">
      <c r="A6" s="2" t="inlineStr">
        <is>
          <t>League, marine</t>
        </is>
      </c>
      <c r="B6" s="2" t="inlineStr">
        <is>
          <t>x 3</t>
        </is>
      </c>
      <c r="C6" s="2">
        <f> Mile, nautical</f>
        <v/>
      </c>
    </row>
    <row r="7">
      <c r="A7" s="2" t="inlineStr">
        <is>
          <t>League, marine</t>
        </is>
      </c>
      <c r="B7" s="2" t="inlineStr">
        <is>
          <t>x 3.45</t>
        </is>
      </c>
      <c r="C7" s="2">
        <f> Mile, statute</f>
        <v/>
      </c>
    </row>
    <row r="8">
      <c r="A8" s="2" t="inlineStr">
        <is>
          <t>Light year</t>
        </is>
      </c>
      <c r="B8" s="2" t="inlineStr">
        <is>
          <t>x 5.9 x 10¹²</t>
        </is>
      </c>
      <c r="C8" s="2">
        <f> Miles</f>
        <v/>
      </c>
    </row>
    <row r="9">
      <c r="A9" s="2" t="inlineStr">
        <is>
          <t>Light year</t>
        </is>
      </c>
      <c r="B9" s="2" t="inlineStr">
        <is>
          <t>x 9.46091 x 10¹²</t>
        </is>
      </c>
      <c r="C9" s="2">
        <f> Kilometers</f>
        <v/>
      </c>
    </row>
    <row r="10">
      <c r="A10" s="2" t="inlineStr">
        <is>
          <t>Links, engineers'</t>
        </is>
      </c>
      <c r="B10" s="2" t="inlineStr">
        <is>
          <t>x 12</t>
        </is>
      </c>
      <c r="C10" s="2">
        <f> Inches</f>
        <v/>
      </c>
    </row>
    <row r="11">
      <c r="A11" s="2" t="inlineStr">
        <is>
          <t>Links, surveyors'</t>
        </is>
      </c>
      <c r="B11" s="2" t="inlineStr">
        <is>
          <t>x 7.92</t>
        </is>
      </c>
      <c r="C11" s="2">
        <f> Inches</f>
        <v/>
      </c>
    </row>
    <row r="12">
      <c r="A12" s="2" t="inlineStr">
        <is>
          <t>Links, surveyors'</t>
        </is>
      </c>
      <c r="B12" s="2" t="inlineStr">
        <is>
          <t>x 0.66</t>
        </is>
      </c>
      <c r="C12" s="2">
        <f> Feet</f>
        <v/>
      </c>
    </row>
    <row r="13">
      <c r="A13" s="2" t="inlineStr">
        <is>
          <t>Links, surveyors'</t>
        </is>
      </c>
      <c r="B13" s="2" t="inlineStr">
        <is>
          <t>x 0.22</t>
        </is>
      </c>
      <c r="C13" s="2">
        <f> Yard</f>
        <v/>
      </c>
    </row>
    <row r="14">
      <c r="A14" s="2" t="inlineStr">
        <is>
          <t>Liters</t>
        </is>
      </c>
      <c r="B14" s="2" t="inlineStr">
        <is>
          <t>x 0.02838</t>
        </is>
      </c>
      <c r="C14" s="2">
        <f> Bushels, USA, dry</f>
        <v/>
      </c>
    </row>
    <row r="15">
      <c r="A15" s="2" t="inlineStr">
        <is>
          <t>Liters</t>
        </is>
      </c>
      <c r="B15" s="2" t="inlineStr">
        <is>
          <t>x 100</t>
        </is>
      </c>
      <c r="C15" s="2">
        <f> Centiliters</f>
        <v/>
      </c>
    </row>
    <row r="17">
      <c r="A17" t="inlineStr">
        <is>
          <t>Caption: Conversion factor L (continued on facing page)</t>
        </is>
      </c>
    </row>
    <row r="18">
      <c r="A18" t="inlineStr">
        <is>
          <t>Extracted from Process-Piping-Design-Rip-Weaver-Volume-1 page 193,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L (continued on facing page)</dc:title>
  <dc:description xmlns:dc="http://purl.org/dc/elements/1.1/">Process-Piping-Design-Rip-Weaver-Volume-1 p0193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