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k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7" authorId="0" shapeId="0">
      <text>
        <t>*: Evaporated from and at 212°F</t>
      </text>
    </comment>
    <comment ref="C18" authorId="0" shapeId="0">
      <text>
        <t>†: Raised from 62°F to 212°F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7" customWidth="1" min="3" max="3"/>
  </cols>
  <sheetData>
    <row r="1">
      <c r="A1" s="1" t="inlineStr">
        <is>
          <t>From</t>
        </is>
      </c>
      <c r="B1" s="1" t="inlineStr">
        <is>
          <t>×</t>
        </is>
      </c>
      <c r="C1" s="1">
        <f> To</f>
        <v/>
      </c>
    </row>
    <row r="2">
      <c r="A2" s="2" t="inlineStr">
        <is>
          <t>Kilometers/hour</t>
        </is>
      </c>
      <c r="B2" s="2" t="inlineStr">
        <is>
          <t>x 0.9113</t>
        </is>
      </c>
      <c r="C2" s="2">
        <f> Feet/second</f>
        <v/>
      </c>
    </row>
    <row r="3">
      <c r="A3" s="2" t="inlineStr">
        <is>
          <t>Kilometers/hour</t>
        </is>
      </c>
      <c r="B3" s="2" t="inlineStr">
        <is>
          <t>x 0.5396</t>
        </is>
      </c>
      <c r="C3" s="2">
        <f> Knots</f>
        <v/>
      </c>
    </row>
    <row r="4">
      <c r="A4" s="2" t="inlineStr">
        <is>
          <t>Kilometers/hour</t>
        </is>
      </c>
      <c r="B4" s="2" t="inlineStr">
        <is>
          <t>x 16.67</t>
        </is>
      </c>
      <c r="C4" s="2">
        <f> Meters/minute</f>
        <v/>
      </c>
    </row>
    <row r="5">
      <c r="A5" s="2" t="inlineStr">
        <is>
          <t>Kilometers/hour</t>
        </is>
      </c>
      <c r="B5" s="2" t="inlineStr">
        <is>
          <t>x 0.6214</t>
        </is>
      </c>
      <c r="C5" s="2">
        <f> Miles/hour</f>
        <v/>
      </c>
    </row>
    <row r="6">
      <c r="A6" s="2" t="inlineStr">
        <is>
          <t>Kilowatts</t>
        </is>
      </c>
      <c r="B6" s="2" t="inlineStr">
        <is>
          <t>x 56.92</t>
        </is>
      </c>
      <c r="C6" s="2">
        <f> Btu/minute</f>
        <v/>
      </c>
    </row>
    <row r="7">
      <c r="A7" s="2" t="inlineStr">
        <is>
          <t>Kilowatts</t>
        </is>
      </c>
      <c r="B7" s="2" t="inlineStr">
        <is>
          <t>x 1.35972</t>
        </is>
      </c>
      <c r="C7" s="2">
        <f> Horsepower, metric</f>
        <v/>
      </c>
    </row>
    <row r="8">
      <c r="A8" s="2" t="inlineStr">
        <is>
          <t>Kilowatts</t>
        </is>
      </c>
      <c r="B8" s="2" t="inlineStr">
        <is>
          <t>x 1.341</t>
        </is>
      </c>
      <c r="C8" s="2">
        <f> Horsepower, USA</f>
        <v/>
      </c>
    </row>
    <row r="9">
      <c r="A9" s="2" t="inlineStr">
        <is>
          <t>Kilowatts</t>
        </is>
      </c>
      <c r="B9" s="2" t="inlineStr">
        <is>
          <t>x 1,000</t>
        </is>
      </c>
      <c r="C9" s="2">
        <f> Watts</f>
        <v/>
      </c>
    </row>
    <row r="10">
      <c r="A10" s="2" t="inlineStr">
        <is>
          <t>Kilowatt-hours</t>
        </is>
      </c>
      <c r="B10" s="2" t="inlineStr">
        <is>
          <t>x 3,413</t>
        </is>
      </c>
      <c r="C10" s="2">
        <f> Btu</f>
        <v/>
      </c>
    </row>
    <row r="11">
      <c r="A11" s="2" t="inlineStr">
        <is>
          <t>Kilowatt-hours</t>
        </is>
      </c>
      <c r="B11" s="2" t="inlineStr">
        <is>
          <t>x 3.6 x 10⁶</t>
        </is>
      </c>
      <c r="C11" s="2">
        <f> Joules</f>
        <v/>
      </c>
    </row>
    <row r="12">
      <c r="A12" s="2" t="inlineStr">
        <is>
          <t>Kilowatt-hours</t>
        </is>
      </c>
      <c r="B12" s="2" t="inlineStr">
        <is>
          <t>x 1.36</t>
        </is>
      </c>
      <c r="C12" s="2">
        <f> Horsepower-hour, metric</f>
        <v/>
      </c>
    </row>
    <row r="13">
      <c r="A13" s="2" t="inlineStr">
        <is>
          <t>Kilowatt-hours</t>
        </is>
      </c>
      <c r="B13" s="2" t="inlineStr">
        <is>
          <t>x 1.34</t>
        </is>
      </c>
      <c r="C13" s="2">
        <f> Horsepower-hour, USA</f>
        <v/>
      </c>
    </row>
    <row r="14">
      <c r="A14" s="2" t="inlineStr">
        <is>
          <t>Kilowatt-hours</t>
        </is>
      </c>
      <c r="B14" s="2" t="inlineStr">
        <is>
          <t>x 3.6 x 10⁶</t>
        </is>
      </c>
      <c r="C14" s="2">
        <f> Joules</f>
        <v/>
      </c>
    </row>
    <row r="15">
      <c r="A15" s="2" t="inlineStr">
        <is>
          <t>Kilowatt-hours</t>
        </is>
      </c>
      <c r="B15" s="2" t="inlineStr">
        <is>
          <t>x 860.5</t>
        </is>
      </c>
      <c r="C15" s="2">
        <f> Kilogram-calories</f>
        <v/>
      </c>
    </row>
    <row r="16">
      <c r="A16" s="2" t="inlineStr">
        <is>
          <t>Kilowatt-hours</t>
        </is>
      </c>
      <c r="B16" s="2" t="inlineStr">
        <is>
          <t>x 3.671 x 10⁵</t>
        </is>
      </c>
      <c r="C16" s="2">
        <f> Kilogram-meters</f>
        <v/>
      </c>
    </row>
    <row r="17">
      <c r="A17" s="2" t="inlineStr">
        <is>
          <t>Kilowatt-hours</t>
        </is>
      </c>
      <c r="B17" s="2" t="inlineStr">
        <is>
          <t>x 3.53</t>
        </is>
      </c>
      <c r="C17" s="2">
        <f> Pounds of water*</f>
        <v/>
      </c>
    </row>
    <row r="18">
      <c r="A18" s="2" t="inlineStr">
        <is>
          <t>Kilowatt-hours</t>
        </is>
      </c>
      <c r="B18" s="2" t="inlineStr">
        <is>
          <t>x 22.75</t>
        </is>
      </c>
      <c r="C18" s="2">
        <f> Pounds of water†</f>
        <v/>
      </c>
    </row>
    <row r="19">
      <c r="A19" s="2" t="inlineStr">
        <is>
          <t>Kip</t>
        </is>
      </c>
      <c r="B19" s="2" t="inlineStr">
        <is>
          <t>x 1</t>
        </is>
      </c>
      <c r="C19" s="2">
        <f> Kilopound</f>
        <v/>
      </c>
    </row>
    <row r="20">
      <c r="A20" s="2" t="inlineStr">
        <is>
          <t>Kip</t>
        </is>
      </c>
      <c r="B20" s="2" t="inlineStr">
        <is>
          <t>x 1,000</t>
        </is>
      </c>
      <c r="C20" s="2">
        <f> Pound</f>
        <v/>
      </c>
    </row>
    <row r="21">
      <c r="A21" s="2" t="inlineStr">
        <is>
          <t>Knot, USA</t>
        </is>
      </c>
      <c r="B21" s="2" t="inlineStr">
        <is>
          <t>x 51.48</t>
        </is>
      </c>
      <c r="C21" s="2">
        <f> Centimeter/second</f>
        <v/>
      </c>
    </row>
    <row r="22">
      <c r="A22" s="2" t="inlineStr">
        <is>
          <t>Knot, USA</t>
        </is>
      </c>
      <c r="B22" s="2" t="inlineStr">
        <is>
          <t>x 6080.2</t>
        </is>
      </c>
      <c r="C22" s="2">
        <f> Feet/hour</f>
        <v/>
      </c>
    </row>
    <row r="23">
      <c r="A23" s="2" t="inlineStr">
        <is>
          <t>Knot, USA</t>
        </is>
      </c>
      <c r="B23" s="2" t="inlineStr">
        <is>
          <t>x 1.8532</t>
        </is>
      </c>
      <c r="C23" s="2">
        <f> Kilometer/hour</f>
        <v/>
      </c>
    </row>
    <row r="24">
      <c r="A24" s="2" t="inlineStr">
        <is>
          <t>Knot, USA</t>
        </is>
      </c>
      <c r="B24" s="2" t="inlineStr">
        <is>
          <t>x 30.887</t>
        </is>
      </c>
      <c r="C24" s="2">
        <f> Meter/minute</f>
        <v/>
      </c>
    </row>
    <row r="25">
      <c r="A25" s="2" t="inlineStr">
        <is>
          <t>Knot, USA</t>
        </is>
      </c>
      <c r="B25" s="2" t="inlineStr">
        <is>
          <t>x 1.15155</t>
        </is>
      </c>
      <c r="C25" s="2">
        <f> Mile/hour</f>
        <v/>
      </c>
    </row>
    <row r="26">
      <c r="A26" s="2" t="inlineStr">
        <is>
          <t>Knot, USA</t>
        </is>
      </c>
      <c r="B26" s="2" t="inlineStr">
        <is>
          <t>x 2027</t>
        </is>
      </c>
      <c r="C26" s="2">
        <f> Yards/hour</f>
        <v/>
      </c>
    </row>
    <row r="28">
      <c r="A28" t="inlineStr">
        <is>
          <t>Caption: Conversion factor K (concluded) — K through L units</t>
        </is>
      </c>
    </row>
    <row r="29">
      <c r="A29" t="inlineStr">
        <is>
          <t>Footnote *: Evaporated from and at 212°F</t>
        </is>
      </c>
    </row>
    <row r="30">
      <c r="A30" t="inlineStr">
        <is>
          <t>Footnote †: Raised from 62°F to 212°F</t>
        </is>
      </c>
    </row>
    <row r="31">
      <c r="A31" t="inlineStr">
        <is>
          <t>Continuation of Process-Piping-Design-Rip-Weaver-Volume-1 page 192 table 1</t>
        </is>
      </c>
    </row>
    <row r="32">
      <c r="A32" t="inlineStr">
        <is>
          <t>Extracted from Process-Piping-Design-Rip-Weaver-Volume-1 page 193,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K (concluded) — K through L units</dc:title>
  <dc:description xmlns:dc="http://purl.org/dc/elements/1.1/">Process-Piping-Design-Rip-Weaver-Volume-1 p0193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2026-05-17T17:01:29Z</dcterms:modified>
  <cp:lastModifiedBy/>
</cp:coreProperties>
</file>