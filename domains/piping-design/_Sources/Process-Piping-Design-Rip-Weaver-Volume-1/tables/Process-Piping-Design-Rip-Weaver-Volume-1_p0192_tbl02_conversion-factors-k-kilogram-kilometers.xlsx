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s-k-kilogram-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6" customWidth="1" min="3" max="3"/>
  </cols>
  <sheetData>
    <row r="1">
      <c r="A1" s="1" t="inlineStr">
        <is>
          <t>Kilogram</t>
        </is>
      </c>
      <c r="B1" s="1" t="inlineStr">
        <is>
          <t>x 1,000</t>
        </is>
      </c>
      <c r="C1" s="1">
        <f> Grams</f>
        <v/>
      </c>
    </row>
    <row r="2">
      <c r="A2" s="1" t="inlineStr">
        <is>
          <t>Kilogram</t>
        </is>
      </c>
      <c r="B2" s="1" t="inlineStr">
        <is>
          <t>x 70.93</t>
        </is>
      </c>
      <c r="C2" s="1">
        <f> Poundals</f>
        <v/>
      </c>
    </row>
    <row r="3">
      <c r="A3" s="1" t="inlineStr">
        <is>
          <t>Kilogram</t>
        </is>
      </c>
      <c r="B3" s="1" t="inlineStr">
        <is>
          <t>x 2.205</t>
        </is>
      </c>
      <c r="C3" s="1">
        <f> Pounds</f>
        <v/>
      </c>
    </row>
    <row r="4">
      <c r="A4" s="1" t="inlineStr">
        <is>
          <t>Kilogram</t>
        </is>
      </c>
      <c r="B4" s="1" t="inlineStr">
        <is>
          <t>x 9.842 x 10⁻⁴</t>
        </is>
      </c>
      <c r="C4" s="1">
        <f> Tons, long</f>
        <v/>
      </c>
    </row>
    <row r="5">
      <c r="A5" s="1" t="inlineStr">
        <is>
          <t>Kilogram</t>
        </is>
      </c>
      <c r="B5" s="1" t="inlineStr">
        <is>
          <t>x 1.102 x 10⁻³</t>
        </is>
      </c>
      <c r="C5" s="1">
        <f> Tons, short</f>
        <v/>
      </c>
    </row>
    <row r="6">
      <c r="A6" s="1" t="inlineStr">
        <is>
          <t>Kilogram</t>
        </is>
      </c>
      <c r="B6" s="1" t="inlineStr">
        <is>
          <t>x 0.001</t>
        </is>
      </c>
      <c r="C6" s="1">
        <f> Tons, metric</f>
        <v/>
      </c>
    </row>
    <row r="7">
      <c r="A7" s="1" t="inlineStr">
        <is>
          <t>Kilograms/cubic meter</t>
        </is>
      </c>
      <c r="B7" s="1" t="inlineStr">
        <is>
          <t>x 0.001</t>
        </is>
      </c>
      <c r="C7" s="1">
        <f> Grams/cubic centimeter</f>
        <v/>
      </c>
    </row>
    <row r="8">
      <c r="A8" s="1" t="inlineStr">
        <is>
          <t>Kilograms/cubic meter</t>
        </is>
      </c>
      <c r="B8" s="1" t="inlineStr">
        <is>
          <t>x 0.06243</t>
        </is>
      </c>
      <c r="C8" s="1">
        <f> Pounds/cubic foot</f>
        <v/>
      </c>
    </row>
    <row r="9">
      <c r="A9" s="1" t="inlineStr">
        <is>
          <t>Kilograms/cubic meter</t>
        </is>
      </c>
      <c r="B9" s="1" t="inlineStr">
        <is>
          <t>x 3.613 x 10⁻⁵</t>
        </is>
      </c>
      <c r="C9" s="1">
        <f> Pounds/cubic inch</f>
        <v/>
      </c>
    </row>
    <row r="10">
      <c r="A10" s="1" t="inlineStr">
        <is>
          <t>Kilograms/cubic meter</t>
        </is>
      </c>
      <c r="B10" s="1" t="inlineStr">
        <is>
          <t>x 3.405 x 10⁻¹⁰</t>
        </is>
      </c>
      <c r="C10" s="1">
        <f> Pounds/mil-foot</f>
        <v/>
      </c>
    </row>
    <row r="11">
      <c r="A11" s="1" t="inlineStr">
        <is>
          <t>Kilograms/cubic meter</t>
        </is>
      </c>
      <c r="B11" s="1" t="inlineStr">
        <is>
          <t>x 8.428 x 10⁻³</t>
        </is>
      </c>
      <c r="C11" s="1">
        <f> Ton, short/cubic yard</f>
        <v/>
      </c>
    </row>
    <row r="12">
      <c r="A12" s="1" t="inlineStr">
        <is>
          <t>Kilograms/meter</t>
        </is>
      </c>
      <c r="B12" s="1" t="inlineStr">
        <is>
          <t>x 10</t>
        </is>
      </c>
      <c r="C12" s="1">
        <f> Gram/centimeters</f>
        <v/>
      </c>
    </row>
    <row r="13">
      <c r="A13" s="1" t="inlineStr">
        <is>
          <t>Kilograms/meter</t>
        </is>
      </c>
      <c r="B13" s="1" t="inlineStr">
        <is>
          <t>x 391.983</t>
        </is>
      </c>
      <c r="C13" s="1">
        <f> Gram/inch</f>
        <v/>
      </c>
    </row>
    <row r="14">
      <c r="A14" s="1" t="inlineStr">
        <is>
          <t>Kilograms/meter</t>
        </is>
      </c>
      <c r="B14" s="1" t="inlineStr">
        <is>
          <t>x 0.672</t>
        </is>
      </c>
      <c r="C14" s="1">
        <f> Pounds/foot</f>
        <v/>
      </c>
    </row>
    <row r="15">
      <c r="A15" s="1" t="inlineStr">
        <is>
          <t>Kilograms/meter</t>
        </is>
      </c>
      <c r="B15" s="1" t="inlineStr">
        <is>
          <t>x 0.056</t>
        </is>
      </c>
      <c r="C15" s="1">
        <f> Pounds/inch</f>
        <v/>
      </c>
    </row>
    <row r="16">
      <c r="A16" s="1" t="inlineStr">
        <is>
          <t>Kilograms/square centimeter</t>
        </is>
      </c>
      <c r="B16" s="1" t="inlineStr">
        <is>
          <t>x 0.9678</t>
        </is>
      </c>
      <c r="C16" s="1">
        <f> Atmospheres</f>
        <v/>
      </c>
    </row>
    <row r="17">
      <c r="A17" s="1" t="inlineStr">
        <is>
          <t>Kilograms/square centimeter</t>
        </is>
      </c>
      <c r="B17" s="1" t="inlineStr">
        <is>
          <t>x 32.81</t>
        </is>
      </c>
      <c r="C17" s="1">
        <f> Feet of water</f>
        <v/>
      </c>
    </row>
    <row r="18">
      <c r="A18" s="1" t="inlineStr">
        <is>
          <t>Kilograms/square centimeter</t>
        </is>
      </c>
      <c r="B18" s="1" t="inlineStr">
        <is>
          <t>x 28.96</t>
        </is>
      </c>
      <c r="C18" s="1">
        <f> Inch of mercury</f>
        <v/>
      </c>
    </row>
    <row r="19">
      <c r="A19" s="1" t="inlineStr">
        <is>
          <t>Kilograms/square centimeter</t>
        </is>
      </c>
      <c r="B19" s="1" t="inlineStr">
        <is>
          <t>x 2.048</t>
        </is>
      </c>
      <c r="C19" s="1">
        <f> Pounds/square foot</f>
        <v/>
      </c>
    </row>
    <row r="20">
      <c r="A20" s="1" t="inlineStr">
        <is>
          <t>Kilograms/square centimeter</t>
        </is>
      </c>
      <c r="B20" s="1" t="inlineStr">
        <is>
          <t>x 14.22</t>
        </is>
      </c>
      <c r="C20" s="1">
        <f> Pounds/square inch</f>
        <v/>
      </c>
    </row>
    <row r="21">
      <c r="A21" s="1" t="inlineStr">
        <is>
          <t>Kilograms/square meter</t>
        </is>
      </c>
      <c r="B21" s="1" t="inlineStr">
        <is>
          <t>x 9.678 x 10⁻⁵</t>
        </is>
      </c>
      <c r="C21" s="1">
        <f> Atmospheres</f>
        <v/>
      </c>
    </row>
    <row r="22">
      <c r="A22" s="1" t="inlineStr">
        <is>
          <t>Kilograms/square meter</t>
        </is>
      </c>
      <c r="B22" s="1" t="inlineStr">
        <is>
          <t>x 3.281 x 10⁻³</t>
        </is>
      </c>
      <c r="C22" s="1">
        <f> Feet of water</f>
        <v/>
      </c>
    </row>
    <row r="23">
      <c r="A23" s="1" t="inlineStr">
        <is>
          <t>Kilograms/square meter</t>
        </is>
      </c>
      <c r="B23" s="1" t="inlineStr">
        <is>
          <t>x 2.896 x 10⁻³</t>
        </is>
      </c>
      <c r="C23" s="1">
        <f> Inches of mercury</f>
        <v/>
      </c>
    </row>
    <row r="24">
      <c r="A24" s="1" t="inlineStr">
        <is>
          <t>Kilograms/square meter</t>
        </is>
      </c>
      <c r="B24" s="1" t="inlineStr">
        <is>
          <t>x 0.03937</t>
        </is>
      </c>
      <c r="C24" s="1">
        <f> Inches of water</f>
        <v/>
      </c>
    </row>
    <row r="25">
      <c r="A25" s="1" t="inlineStr">
        <is>
          <t>Kilograms/square meter</t>
        </is>
      </c>
      <c r="B25" s="1" t="inlineStr">
        <is>
          <t>x 0.2048</t>
        </is>
      </c>
      <c r="C25" s="1">
        <f> Pounds/square foot</f>
        <v/>
      </c>
    </row>
    <row r="26">
      <c r="A26" s="1" t="inlineStr">
        <is>
          <t>Kilograms/square meter</t>
        </is>
      </c>
      <c r="B26" s="1" t="inlineStr">
        <is>
          <t>x 1.422 x 10⁻³</t>
        </is>
      </c>
      <c r="C26" s="1">
        <f> Pounds/square inch</f>
        <v/>
      </c>
    </row>
    <row r="27">
      <c r="A27" s="1" t="inlineStr">
        <is>
          <t>Kilometers</t>
        </is>
      </c>
      <c r="B27" s="1" t="inlineStr">
        <is>
          <t>x 3281</t>
        </is>
      </c>
      <c r="C27" s="1">
        <f> Feet</f>
        <v/>
      </c>
    </row>
    <row r="28">
      <c r="A28" s="1" t="inlineStr">
        <is>
          <t>Kilometers</t>
        </is>
      </c>
      <c r="B28" s="1" t="inlineStr">
        <is>
          <t>x 3.937 x 10⁴</t>
        </is>
      </c>
      <c r="C28" s="1">
        <f> Inches</f>
        <v/>
      </c>
    </row>
    <row r="29">
      <c r="A29" s="1" t="inlineStr">
        <is>
          <t>Kilometers</t>
        </is>
      </c>
      <c r="B29" s="1" t="inlineStr">
        <is>
          <t>x 1,000</t>
        </is>
      </c>
      <c r="C29" s="1">
        <f> Meters</f>
        <v/>
      </c>
    </row>
    <row r="30">
      <c r="A30" s="1" t="inlineStr">
        <is>
          <t>Kilometers</t>
        </is>
      </c>
      <c r="B30" s="1" t="inlineStr">
        <is>
          <t>x 0.6214</t>
        </is>
      </c>
      <c r="C30" s="1">
        <f> Miles</f>
        <v/>
      </c>
    </row>
    <row r="31">
      <c r="A31" s="1" t="inlineStr">
        <is>
          <t>Kilometers</t>
        </is>
      </c>
      <c r="B31" s="1" t="inlineStr">
        <is>
          <t>x 1,094</t>
        </is>
      </c>
      <c r="C31" s="1">
        <f> Yards</f>
        <v/>
      </c>
    </row>
    <row r="32">
      <c r="A32" s="1" t="inlineStr">
        <is>
          <t>Kilometers/hour</t>
        </is>
      </c>
      <c r="B32" s="1" t="inlineStr">
        <is>
          <t>x 27.78</t>
        </is>
      </c>
      <c r="C32" s="1">
        <f> Centimeters/second</f>
        <v/>
      </c>
    </row>
    <row r="33">
      <c r="A33" s="1" t="inlineStr">
        <is>
          <t>Kilometers/hour</t>
        </is>
      </c>
      <c r="B33" s="1" t="inlineStr">
        <is>
          <t>x 54.08</t>
        </is>
      </c>
      <c r="C33" s="1">
        <f> Feet/minute</f>
        <v/>
      </c>
    </row>
    <row r="35">
      <c r="A35" t="inlineStr">
        <is>
          <t>Caption: Conversion factors — K (Kilogram, Kilometers, etc.) — continued on following page</t>
        </is>
      </c>
    </row>
    <row r="36">
      <c r="A36" t="inlineStr">
        <is>
          <t>Extracted from Process-Piping-Design-Rip-Weaver-Volume-1 page 192,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factors — K (Kilogram, Kilometers, etc.) — continued on following page</dc:title>
  <dc:description xmlns:dc="http://purl.org/dc/elements/1.1/">Process-Piping-Design-Rip-Weaver-Volume-1 p0192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2026-05-17T17:01:29Z</dcterms:modified>
  <cp:lastModifiedBy/>
</cp:coreProperties>
</file>