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p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</cols>
  <sheetData>
    <row r="1">
      <c r="A1" s="1" t="inlineStr">
        <is>
          <t>Pounds</t>
        </is>
      </c>
      <c r="B1" s="1" t="inlineStr">
        <is>
          <t>x 4.536 x 10⁻⁴</t>
        </is>
      </c>
      <c r="C1" s="1">
        <f> Tons, metric</f>
        <v/>
      </c>
    </row>
    <row r="2">
      <c r="A2" s="1" t="inlineStr">
        <is>
          <t>Pounds</t>
        </is>
      </c>
      <c r="B2" s="1" t="inlineStr">
        <is>
          <t>x 5 x 10⁻⁴</t>
        </is>
      </c>
      <c r="C2" s="1">
        <f> Tons, short</f>
        <v/>
      </c>
    </row>
    <row r="3">
      <c r="A3" s="1" t="inlineStr">
        <is>
          <t>Pounds, troy</t>
        </is>
      </c>
      <c r="B3" s="1" t="inlineStr">
        <is>
          <t>x 5.760</t>
        </is>
      </c>
      <c r="C3" s="1">
        <f> Grains</f>
        <v/>
      </c>
    </row>
    <row r="4">
      <c r="A4" s="1" t="inlineStr">
        <is>
          <t>Pounds, troy</t>
        </is>
      </c>
      <c r="B4" s="1" t="inlineStr">
        <is>
          <t>x 373.24177</t>
        </is>
      </c>
      <c r="C4" s="1">
        <f> Grams</f>
        <v/>
      </c>
    </row>
    <row r="5">
      <c r="A5" s="1" t="inlineStr">
        <is>
          <t>Pounds, troy</t>
        </is>
      </c>
      <c r="B5" s="1" t="inlineStr">
        <is>
          <t>x 13.1657</t>
        </is>
      </c>
      <c r="C5" s="1">
        <f> Ounces, avoirdupois</f>
        <v/>
      </c>
    </row>
    <row r="6">
      <c r="A6" s="1" t="inlineStr">
        <is>
          <t>Pounds, troy</t>
        </is>
      </c>
      <c r="B6" s="1" t="inlineStr">
        <is>
          <t>x 12</t>
        </is>
      </c>
      <c r="C6" s="1">
        <f> Ounces, troy</f>
        <v/>
      </c>
    </row>
    <row r="7">
      <c r="A7" s="1" t="inlineStr">
        <is>
          <t>Pounds, troy</t>
        </is>
      </c>
      <c r="B7" s="1" t="inlineStr">
        <is>
          <t>x 240</t>
        </is>
      </c>
      <c r="C7" s="1">
        <f> Pennyweights, troy</f>
        <v/>
      </c>
    </row>
    <row r="8">
      <c r="A8" s="1" t="inlineStr">
        <is>
          <t>Pounds, troy</t>
        </is>
      </c>
      <c r="B8" s="1" t="inlineStr">
        <is>
          <t>x 0.822857</t>
        </is>
      </c>
      <c r="C8" s="1">
        <f> Pounds, avoirdupois</f>
        <v/>
      </c>
    </row>
    <row r="9">
      <c r="A9" s="1" t="inlineStr">
        <is>
          <t>Pounds, troy</t>
        </is>
      </c>
      <c r="B9" s="1" t="inlineStr">
        <is>
          <t>x 3.6735 x 10⁻⁴</t>
        </is>
      </c>
      <c r="C9" s="1">
        <f> Tons, long</f>
        <v/>
      </c>
    </row>
    <row r="10">
      <c r="A10" s="1" t="inlineStr">
        <is>
          <t>Pounds, troy</t>
        </is>
      </c>
      <c r="B10" s="1" t="inlineStr">
        <is>
          <t>x 3.7324 x 10⁻⁴</t>
        </is>
      </c>
      <c r="C10" s="1">
        <f> Tons, metric</f>
        <v/>
      </c>
    </row>
    <row r="11">
      <c r="A11" s="1" t="inlineStr">
        <is>
          <t>Pounds, troy</t>
        </is>
      </c>
      <c r="B11" s="1" t="inlineStr">
        <is>
          <t>x 4.1143 x 10⁻⁴</t>
        </is>
      </c>
      <c r="C11" s="1">
        <f> Tons, short</f>
        <v/>
      </c>
    </row>
    <row r="12">
      <c r="A12" s="1" t="inlineStr">
        <is>
          <t>Pounds of water</t>
        </is>
      </c>
      <c r="B12" s="1" t="inlineStr">
        <is>
          <t>x 0.01602</t>
        </is>
      </c>
      <c r="C12" s="1">
        <f> Cubic feet</f>
        <v/>
      </c>
    </row>
    <row r="13">
      <c r="A13" s="1" t="inlineStr">
        <is>
          <t>Pounds of water</t>
        </is>
      </c>
      <c r="B13" s="1" t="inlineStr">
        <is>
          <t>x 27.68</t>
        </is>
      </c>
      <c r="C13" s="1">
        <f> Cubic inches</f>
        <v/>
      </c>
    </row>
    <row r="14">
      <c r="A14" s="1" t="inlineStr">
        <is>
          <t>Pounds of water</t>
        </is>
      </c>
      <c r="B14" s="1" t="inlineStr">
        <is>
          <t>x 0.1198</t>
        </is>
      </c>
      <c r="C14" s="1">
        <f> Gallons</f>
        <v/>
      </c>
    </row>
    <row r="15">
      <c r="A15" s="1" t="inlineStr">
        <is>
          <t>Pounds of water/minute</t>
        </is>
      </c>
      <c r="B15" s="1" t="inlineStr">
        <is>
          <t>x 2.67 x 10⁻⁴</t>
        </is>
      </c>
      <c r="C15" s="1">
        <f> cubic feet/second</f>
        <v/>
      </c>
    </row>
    <row r="16">
      <c r="A16" s="1" t="inlineStr">
        <is>
          <t>Pounds/cubic foot</t>
        </is>
      </c>
      <c r="B16" s="1" t="inlineStr">
        <is>
          <t>x 0.01602</t>
        </is>
      </c>
      <c r="C16" s="1">
        <f> Grams/cubic centimeters</f>
        <v/>
      </c>
    </row>
    <row r="17">
      <c r="A17" s="1" t="inlineStr">
        <is>
          <t>Pounds/cubic foot</t>
        </is>
      </c>
      <c r="B17" s="1" t="inlineStr">
        <is>
          <t>x 16.02</t>
        </is>
      </c>
      <c r="C17" s="1">
        <f> Kilograms/cubic meter</f>
        <v/>
      </c>
    </row>
    <row r="18">
      <c r="A18" s="1" t="inlineStr">
        <is>
          <t>Pounds/cubic foot</t>
        </is>
      </c>
      <c r="B18" s="1" t="inlineStr">
        <is>
          <t>x 5.787 x 10⁻⁴</t>
        </is>
      </c>
      <c r="C18" s="1">
        <f> Pounds/cubic inch</f>
        <v/>
      </c>
    </row>
    <row r="19">
      <c r="A19" s="1" t="inlineStr">
        <is>
          <t>Pounds/cubic foot</t>
        </is>
      </c>
      <c r="B19" s="1" t="inlineStr">
        <is>
          <t>x 27</t>
        </is>
      </c>
      <c r="C19" s="1">
        <f> Pounds/cubic yard</f>
        <v/>
      </c>
    </row>
    <row r="20">
      <c r="A20" s="1" t="inlineStr">
        <is>
          <t>Pounds/cubic inch</t>
        </is>
      </c>
      <c r="B20" s="1" t="inlineStr">
        <is>
          <t>x 27.68</t>
        </is>
      </c>
      <c r="C20" s="1">
        <f> Grams/cubic centimeter</f>
        <v/>
      </c>
    </row>
    <row r="21">
      <c r="A21" s="1" t="inlineStr">
        <is>
          <t>Pounds/cubic inch</t>
        </is>
      </c>
      <c r="B21" s="1" t="inlineStr">
        <is>
          <t>x 2.768 x 10⁴</t>
        </is>
      </c>
      <c r="C21" s="1">
        <f> Kilograms/cubic meter</f>
        <v/>
      </c>
    </row>
    <row r="22">
      <c r="A22" s="1" t="inlineStr">
        <is>
          <t>Pounds/cubic inch</t>
        </is>
      </c>
      <c r="B22" s="1" t="inlineStr">
        <is>
          <t>x 1.728</t>
        </is>
      </c>
      <c r="C22" s="1">
        <f> Pounds/cubic foot</f>
        <v/>
      </c>
    </row>
    <row r="23">
      <c r="A23" s="1" t="inlineStr">
        <is>
          <t>Pounds/cubic inch</t>
        </is>
      </c>
      <c r="B23" s="1" t="inlineStr">
        <is>
          <t>x 46,656</t>
        </is>
      </c>
      <c r="C23" s="1">
        <f> Pounds/cubic yard</f>
        <v/>
      </c>
    </row>
    <row r="24">
      <c r="A24" s="1" t="inlineStr">
        <is>
          <t>Pounds/hour</t>
        </is>
      </c>
      <c r="B24" s="1" t="inlineStr">
        <is>
          <t>x 10.714 x 10⁻³</t>
        </is>
      </c>
      <c r="C24" s="1">
        <f> Tons/day, long</f>
        <v/>
      </c>
    </row>
    <row r="25">
      <c r="A25" s="1" t="inlineStr">
        <is>
          <t>Pounds/hour</t>
        </is>
      </c>
      <c r="B25" s="1" t="inlineStr">
        <is>
          <t>x 12 x 10⁻³</t>
        </is>
      </c>
      <c r="C25" s="1">
        <f> Tons/day, short</f>
        <v/>
      </c>
    </row>
    <row r="26">
      <c r="A26" s="1" t="inlineStr">
        <is>
          <t>Pounds/hour</t>
        </is>
      </c>
      <c r="B26" s="1" t="inlineStr">
        <is>
          <t>x 10.886 x 10⁻³</t>
        </is>
      </c>
      <c r="C26" s="1">
        <f> Tons/day, metric</f>
        <v/>
      </c>
    </row>
    <row r="27">
      <c r="A27" s="1" t="inlineStr">
        <is>
          <t>Pounds/hour</t>
        </is>
      </c>
      <c r="B27" s="1" t="inlineStr">
        <is>
          <t>x 0.45359</t>
        </is>
      </c>
      <c r="C27" s="1">
        <f> Kilograms/hour</f>
        <v/>
      </c>
    </row>
    <row r="28">
      <c r="A28" s="1" t="inlineStr">
        <is>
          <t>Pounds/square foot</t>
        </is>
      </c>
      <c r="B28" s="1" t="inlineStr">
        <is>
          <t>x 4.725 x 10⁻⁴</t>
        </is>
      </c>
      <c r="C28" s="1">
        <f> Atmospheres</f>
        <v/>
      </c>
    </row>
    <row r="29">
      <c r="A29" s="1" t="inlineStr">
        <is>
          <t>Pounds/square foot</t>
        </is>
      </c>
      <c r="B29" s="1" t="inlineStr">
        <is>
          <t>x 0.01602</t>
        </is>
      </c>
      <c r="C29" s="1">
        <f> Feet of water</f>
        <v/>
      </c>
    </row>
    <row r="30">
      <c r="A30" s="1" t="inlineStr">
        <is>
          <t>Pounds/square foot</t>
        </is>
      </c>
      <c r="B30" s="1" t="inlineStr">
        <is>
          <t>x 0.01414</t>
        </is>
      </c>
      <c r="C30" s="1">
        <f> Inches of mercury</f>
        <v/>
      </c>
    </row>
    <row r="31">
      <c r="A31" s="1" t="inlineStr">
        <is>
          <t>Pounds/square foot</t>
        </is>
      </c>
      <c r="B31" s="1" t="inlineStr">
        <is>
          <t>x 4.8824</t>
        </is>
      </c>
      <c r="C31" s="1">
        <f> Kilograms/square meter</f>
        <v/>
      </c>
    </row>
    <row r="32">
      <c r="A32" s="1" t="inlineStr">
        <is>
          <t>Pounds/square foot</t>
        </is>
      </c>
      <c r="B32" s="1" t="inlineStr">
        <is>
          <t>x 0.1111</t>
        </is>
      </c>
      <c r="C32" s="1">
        <f> Ounce/square inch</f>
        <v/>
      </c>
    </row>
    <row r="33">
      <c r="A33" s="1" t="inlineStr">
        <is>
          <t>Pounds/square foot</t>
        </is>
      </c>
      <c r="B33" s="1" t="inlineStr">
        <is>
          <t>x 0.107638</t>
        </is>
      </c>
      <c r="C33" s="1">
        <f> Pound/square centimeter</f>
        <v/>
      </c>
    </row>
    <row r="34">
      <c r="A34" s="1" t="inlineStr">
        <is>
          <t>Pounds/square foot</t>
        </is>
      </c>
      <c r="B34" s="1" t="inlineStr">
        <is>
          <t>x 6.944 x 10⁻³</t>
        </is>
      </c>
      <c r="C34" s="1">
        <f> Pounds/square inch</f>
        <v/>
      </c>
    </row>
    <row r="35">
      <c r="A35" s="1" t="inlineStr">
        <is>
          <t>Pounds/square foot</t>
        </is>
      </c>
      <c r="B35" s="1" t="inlineStr">
        <is>
          <t>x 10.76387</t>
        </is>
      </c>
      <c r="C35" s="1">
        <f> Pound/square meter</f>
        <v/>
      </c>
    </row>
    <row r="36">
      <c r="A36" s="1" t="inlineStr">
        <is>
          <t>Pounds/square inch</t>
        </is>
      </c>
      <c r="B36" s="1" t="inlineStr">
        <is>
          <t>x 0.068046</t>
        </is>
      </c>
      <c r="C36" s="1">
        <f> Atmospheres</f>
        <v/>
      </c>
    </row>
    <row r="37">
      <c r="A37" s="1" t="inlineStr">
        <is>
          <t>Pounds/square inch</t>
        </is>
      </c>
      <c r="B37" s="1" t="inlineStr">
        <is>
          <t>x 2.307</t>
        </is>
      </c>
      <c r="C37" s="1">
        <f> Feet of water</f>
        <v/>
      </c>
    </row>
    <row r="38">
      <c r="A38" s="1" t="inlineStr">
        <is>
          <t>Pounds/square inch</t>
        </is>
      </c>
      <c r="B38" s="1" t="inlineStr">
        <is>
          <t>x 27.7</t>
        </is>
      </c>
      <c r="C38" s="1">
        <f> Inch of water</f>
        <v/>
      </c>
    </row>
    <row r="39">
      <c r="A39" s="1" t="inlineStr">
        <is>
          <t>Pounds/square inch</t>
        </is>
      </c>
      <c r="B39" s="1" t="inlineStr">
        <is>
          <t>x 0.0703</t>
        </is>
      </c>
      <c r="C39" s="1">
        <f> Kilogram/square centimeter</f>
        <v/>
      </c>
    </row>
    <row r="40">
      <c r="A40" s="1" t="inlineStr">
        <is>
          <t>Pounds/square inch</t>
        </is>
      </c>
      <c r="B40" s="1" t="inlineStr">
        <is>
          <t>x 0.0703</t>
        </is>
      </c>
      <c r="C40" s="1">
        <f> Volume/square centimeter</f>
        <v/>
      </c>
    </row>
    <row r="41">
      <c r="A41" s="1" t="inlineStr">
        <is>
          <t>Pounds/square inch</t>
        </is>
      </c>
      <c r="B41" s="1" t="inlineStr">
        <is>
          <t>x 703.1</t>
        </is>
      </c>
      <c r="C41" s="1">
        <f> Kilogram/square meter</f>
        <v/>
      </c>
    </row>
    <row r="42">
      <c r="A42" s="1" t="inlineStr">
        <is>
          <t>Pounds/square inch</t>
        </is>
      </c>
      <c r="B42" s="1" t="inlineStr">
        <is>
          <t>x 51.714</t>
        </is>
      </c>
      <c r="C42" s="1">
        <f> Millimeters of mercury</f>
        <v/>
      </c>
    </row>
    <row r="43">
      <c r="A43" s="1" t="inlineStr">
        <is>
          <t>Pounds/square inch</t>
        </is>
      </c>
      <c r="B43" s="1" t="inlineStr">
        <is>
          <t>x 2.304</t>
        </is>
      </c>
      <c r="C43" s="1">
        <f> Ounces/square foot</f>
        <v/>
      </c>
    </row>
    <row r="44">
      <c r="A44" s="1" t="inlineStr">
        <is>
          <t>Pounds/square inch</t>
        </is>
      </c>
      <c r="B44" s="1" t="inlineStr">
        <is>
          <t>x 144</t>
        </is>
      </c>
      <c r="C44" s="1">
        <f> Pound/square foot</f>
        <v/>
      </c>
    </row>
    <row r="45">
      <c r="A45" s="1" t="inlineStr">
        <is>
          <t>(water gauge) inch</t>
        </is>
      </c>
      <c r="B45" s="1" t="inlineStr">
        <is>
          <t>(3.613 x 10⁻²)</t>
        </is>
      </c>
      <c r="C45" s="1">
        <f> (PSI)</f>
        <v/>
      </c>
    </row>
    <row r="47">
      <c r="A47" t="inlineStr">
        <is>
          <t>Caption: Conversion factor P (concluded) — unit conversion table from Pounds through Pounds/square inch</t>
        </is>
      </c>
    </row>
    <row r="48">
      <c r="A48" t="inlineStr">
        <is>
          <t>Continuation of Process-Piping-Design-Rip-Weaver-Volume-1 page 197 table 1</t>
        </is>
      </c>
    </row>
    <row r="49">
      <c r="A49" t="inlineStr">
        <is>
          <t>Extracted from Process-Piping-Design-Rip-Weaver-Volume-1 page 198,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P (concluded) — unit conversion table from Pounds through Pounds/square inch</dc:title>
  <dc:description xmlns:dc="http://purl.org/dc/elements/1.1/">Process-Piping-Design-Rip-Weaver-Volume-1 p0198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