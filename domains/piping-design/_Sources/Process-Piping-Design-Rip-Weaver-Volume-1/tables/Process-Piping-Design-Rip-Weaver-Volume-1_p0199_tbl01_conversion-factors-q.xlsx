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s-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2" customWidth="1" min="3" max="3"/>
  </cols>
  <sheetData>
    <row r="1">
      <c r="A1" s="1" t="inlineStr">
        <is>
          <t>From</t>
        </is>
      </c>
      <c r="B1" s="1" t="inlineStr">
        <is>
          <t>Multiply by</t>
        </is>
      </c>
      <c r="C1" s="1" t="inlineStr">
        <is>
          <t>To get</t>
        </is>
      </c>
    </row>
    <row r="2">
      <c r="A2" s="2" t="inlineStr">
        <is>
          <t>Quadrant</t>
        </is>
      </c>
      <c r="B2" s="2" t="inlineStr">
        <is>
          <t>x 0.25</t>
        </is>
      </c>
      <c r="C2" s="2">
        <f> Circumference</f>
        <v/>
      </c>
    </row>
    <row r="3">
      <c r="A3" s="2" t="inlineStr">
        <is>
          <t>Quadrant</t>
        </is>
      </c>
      <c r="B3" s="2" t="inlineStr">
        <is>
          <t>x 90</t>
        </is>
      </c>
      <c r="C3" s="2">
        <f> Degrees</f>
        <v/>
      </c>
    </row>
    <row r="4">
      <c r="A4" s="2" t="inlineStr">
        <is>
          <t>Quadrant</t>
        </is>
      </c>
      <c r="B4" s="2" t="inlineStr">
        <is>
          <t>x 5,400</t>
        </is>
      </c>
      <c r="C4" s="2">
        <f> Minutes</f>
        <v/>
      </c>
    </row>
    <row r="5">
      <c r="A5" s="2" t="inlineStr">
        <is>
          <t>Quadrant</t>
        </is>
      </c>
      <c r="B5" s="2" t="inlineStr">
        <is>
          <t>x 1.571</t>
        </is>
      </c>
      <c r="C5" s="2">
        <f> Radians</f>
        <v/>
      </c>
    </row>
    <row r="6">
      <c r="A6" s="2" t="inlineStr">
        <is>
          <t>Quarts, USA, dry</t>
        </is>
      </c>
      <c r="B6" s="2" t="inlineStr">
        <is>
          <t>x 0.03125</t>
        </is>
      </c>
      <c r="C6" s="2">
        <f> Bushel</f>
        <v/>
      </c>
    </row>
    <row r="7">
      <c r="A7" s="2" t="inlineStr">
        <is>
          <t>Quarts, USA, dry</t>
        </is>
      </c>
      <c r="B7" s="2" t="inlineStr">
        <is>
          <t>x 1,101.2</t>
        </is>
      </c>
      <c r="C7" s="2">
        <f> Cubic centimeter</f>
        <v/>
      </c>
    </row>
    <row r="8">
      <c r="A8" s="2" t="inlineStr">
        <is>
          <t>Quarts, USA, dry</t>
        </is>
      </c>
      <c r="B8" s="2" t="inlineStr">
        <is>
          <t>x 0.03889</t>
        </is>
      </c>
      <c r="C8" s="2">
        <f> Cubic foot</f>
        <v/>
      </c>
    </row>
    <row r="9">
      <c r="A9" s="2" t="inlineStr">
        <is>
          <t>Quarts, USA, dry</t>
        </is>
      </c>
      <c r="B9" s="2" t="inlineStr">
        <is>
          <t>x 67.20</t>
        </is>
      </c>
      <c r="C9" s="2">
        <f> Cubic inches</f>
        <v/>
      </c>
    </row>
    <row r="10">
      <c r="A10" s="2" t="inlineStr">
        <is>
          <t>Quarts, USA, dry</t>
        </is>
      </c>
      <c r="B10" s="2" t="inlineStr">
        <is>
          <t>x 1.1012</t>
        </is>
      </c>
      <c r="C10" s="2">
        <f> Liter</f>
        <v/>
      </c>
    </row>
    <row r="11">
      <c r="A11" s="2" t="inlineStr">
        <is>
          <t>Quarts, USA, dry</t>
        </is>
      </c>
      <c r="B11" s="2" t="inlineStr">
        <is>
          <t>x 1.16365</t>
        </is>
      </c>
      <c r="C11" s="2">
        <f> Quart, USA, liquid</f>
        <v/>
      </c>
    </row>
    <row r="12">
      <c r="A12" s="2" t="inlineStr">
        <is>
          <t>Quarts, USA, liquid</t>
        </is>
      </c>
      <c r="B12" s="2" t="inlineStr">
        <is>
          <t>x 946.331</t>
        </is>
      </c>
      <c r="C12" s="2">
        <f> Cubic centimeter</f>
        <v/>
      </c>
    </row>
    <row r="13">
      <c r="A13" s="2" t="inlineStr">
        <is>
          <t>Quarts, USA, liquid</t>
        </is>
      </c>
      <c r="B13" s="2" t="inlineStr">
        <is>
          <t>x 0.03342</t>
        </is>
      </c>
      <c r="C13" s="2">
        <f> Cubic foot</f>
        <v/>
      </c>
    </row>
    <row r="14">
      <c r="A14" s="2" t="inlineStr">
        <is>
          <t>Quarts, USA, liquid</t>
        </is>
      </c>
      <c r="B14" s="2" t="inlineStr">
        <is>
          <t>x 57.75</t>
        </is>
      </c>
      <c r="C14" s="2">
        <f> Cubic inches</f>
        <v/>
      </c>
    </row>
    <row r="15">
      <c r="A15" s="2" t="inlineStr">
        <is>
          <t>Quarts, USA, liquid</t>
        </is>
      </c>
      <c r="B15" s="2" t="inlineStr">
        <is>
          <t>x 9.464 x 10⁻⁴</t>
        </is>
      </c>
      <c r="C15" s="2">
        <f> Cubic meter</f>
        <v/>
      </c>
    </row>
    <row r="16">
      <c r="A16" s="2" t="inlineStr">
        <is>
          <t>Quarts, USA, liquid</t>
        </is>
      </c>
      <c r="B16" s="2" t="inlineStr">
        <is>
          <t>x 1.238 x 10⁻⁴</t>
        </is>
      </c>
      <c r="C16" s="2">
        <f> Cubic yard</f>
        <v/>
      </c>
    </row>
    <row r="17">
      <c r="A17" s="2" t="inlineStr">
        <is>
          <t>Quarts, USA, liquid</t>
        </is>
      </c>
      <c r="B17" s="2" t="inlineStr">
        <is>
          <t>x 4</t>
        </is>
      </c>
      <c r="C17" s="2">
        <f> Cup</f>
        <v/>
      </c>
    </row>
    <row r="18">
      <c r="A18" s="2" t="inlineStr">
        <is>
          <t>Quarts, USA, liquid</t>
        </is>
      </c>
      <c r="B18" s="2" t="inlineStr">
        <is>
          <t>x 256</t>
        </is>
      </c>
      <c r="C18" s="2">
        <f> Dram fluid</f>
        <v/>
      </c>
    </row>
    <row r="19">
      <c r="A19" s="2" t="inlineStr">
        <is>
          <t>Quarts, USA, liquid</t>
        </is>
      </c>
      <c r="B19" s="2" t="inlineStr">
        <is>
          <t>x 0.25</t>
        </is>
      </c>
      <c r="C19" s="2">
        <f> Gallons</f>
        <v/>
      </c>
    </row>
    <row r="20">
      <c r="A20" s="2" t="inlineStr">
        <is>
          <t>Quarts, USA, liquid</t>
        </is>
      </c>
      <c r="B20" s="2" t="inlineStr">
        <is>
          <t>x 0.946331</t>
        </is>
      </c>
      <c r="C20" s="2">
        <f> Liter</f>
        <v/>
      </c>
    </row>
    <row r="21">
      <c r="A21" s="2" t="inlineStr">
        <is>
          <t>Quarts, USA, liquid</t>
        </is>
      </c>
      <c r="B21" s="2" t="inlineStr">
        <is>
          <t>x 5.9523 x 10⁻³</t>
        </is>
      </c>
      <c r="C21" s="2">
        <f> Oil, barrel</f>
        <v/>
      </c>
    </row>
    <row r="22">
      <c r="A22" s="2" t="inlineStr">
        <is>
          <t>Quarts, USA, liquid</t>
        </is>
      </c>
      <c r="B22" s="2" t="inlineStr">
        <is>
          <t>x 32</t>
        </is>
      </c>
      <c r="C22" s="2">
        <f> Ounces</f>
        <v/>
      </c>
    </row>
    <row r="23">
      <c r="A23" s="2" t="inlineStr">
        <is>
          <t>Quarts, USA, liquid</t>
        </is>
      </c>
      <c r="B23" s="2" t="inlineStr">
        <is>
          <t>x 2</t>
        </is>
      </c>
      <c r="C23" s="2">
        <f> Pint</f>
        <v/>
      </c>
    </row>
    <row r="24">
      <c r="A24" s="2" t="inlineStr">
        <is>
          <t>Quarts, USA, liquid</t>
        </is>
      </c>
      <c r="B24" s="2" t="inlineStr">
        <is>
          <t>x 0.8594</t>
        </is>
      </c>
      <c r="C24" s="2">
        <f> Quart, USA, dry</f>
        <v/>
      </c>
    </row>
    <row r="26">
      <c r="A26" t="inlineStr">
        <is>
          <t>Caption: Conversion factors — Q (Quadrant, Quarts USA dry, Quarts USA liquid)</t>
        </is>
      </c>
    </row>
    <row r="27">
      <c r="A27" t="inlineStr">
        <is>
          <t>Extracted from Process-Piping-Design-Rip-Weaver-Volume-1 page 199,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factors — Q (Quadrant, Quarts USA dry, Quarts USA liquid)</dc:title>
  <dc:description xmlns:dc="http://purl.org/dc/elements/1.1/">Process-Piping-Design-Rip-Weaver-Volume-1 p0199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2026-05-17T17:01:31Z</dcterms:modified>
  <cp:lastModifiedBy/>
</cp:coreProperties>
</file>