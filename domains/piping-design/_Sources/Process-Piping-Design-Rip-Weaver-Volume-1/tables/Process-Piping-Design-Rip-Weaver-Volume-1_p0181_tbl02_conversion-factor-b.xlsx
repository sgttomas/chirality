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30" customWidth="1" min="3" max="3"/>
  </cols>
  <sheetData>
    <row r="1">
      <c r="A1" s="1" t="inlineStr">
        <is>
          <t>From</t>
        </is>
      </c>
      <c r="B1" s="1" t="inlineStr">
        <is>
          <t>Multiply by</t>
        </is>
      </c>
      <c r="C1" s="1" t="inlineStr">
        <is>
          <t>To get</t>
        </is>
      </c>
    </row>
    <row r="2">
      <c r="A2" s="2" t="inlineStr">
        <is>
          <t>Barrels (USA, dry)</t>
        </is>
      </c>
      <c r="B2" s="2" t="inlineStr">
        <is>
          <t>x 7,056</t>
        </is>
      </c>
      <c r="C2" s="2">
        <f> Cubic inches</f>
        <v/>
      </c>
    </row>
    <row r="3">
      <c r="A3" s="2" t="inlineStr">
        <is>
          <t>Barrels (USA, dry)</t>
        </is>
      </c>
      <c r="B3" s="2" t="inlineStr">
        <is>
          <t>x 105</t>
        </is>
      </c>
      <c r="C3" s="2">
        <f> Quarts (dry)</f>
        <v/>
      </c>
    </row>
    <row r="4">
      <c r="A4" s="2" t="inlineStr">
        <is>
          <t>Barrels (USA, liquid)</t>
        </is>
      </c>
      <c r="B4" s="2" t="inlineStr">
        <is>
          <t>x 31.5</t>
        </is>
      </c>
      <c r="C4" s="2">
        <f> Gallons</f>
        <v/>
      </c>
    </row>
    <row r="5">
      <c r="A5" s="2" t="inlineStr">
        <is>
          <t>Barrels (oil)</t>
        </is>
      </c>
      <c r="B5" s="2" t="inlineStr">
        <is>
          <t>x 42</t>
        </is>
      </c>
      <c r="C5" s="2">
        <f> Gallons (oil)</f>
        <v/>
      </c>
    </row>
    <row r="6">
      <c r="A6" s="2" t="inlineStr">
        <is>
          <t>Barrels (oil)</t>
        </is>
      </c>
      <c r="B6" s="2" t="inlineStr">
        <is>
          <t>x 0.159</t>
        </is>
      </c>
      <c r="C6" s="2">
        <f> Cubic meters</f>
        <v/>
      </c>
    </row>
    <row r="7">
      <c r="A7" s="2" t="inlineStr">
        <is>
          <t>Barrels (oil)</t>
        </is>
      </c>
      <c r="B7" s="2" t="inlineStr">
        <is>
          <t>x 159</t>
        </is>
      </c>
      <c r="C7" s="2">
        <f> Liters</f>
        <v/>
      </c>
    </row>
    <row r="8">
      <c r="A8" s="2" t="inlineStr">
        <is>
          <t>Barrels/day</t>
        </is>
      </c>
      <c r="B8" s="2" t="inlineStr">
        <is>
          <t>x 6.6245 x 10⁻³</t>
        </is>
      </c>
      <c r="C8" s="2">
        <f> Cubic meters/hour</f>
        <v/>
      </c>
    </row>
    <row r="9">
      <c r="A9" s="2" t="inlineStr">
        <is>
          <t>Barrels/day</t>
        </is>
      </c>
      <c r="B9" s="2" t="inlineStr">
        <is>
          <t>x 5.6154</t>
        </is>
      </c>
      <c r="C9" s="2">
        <f> Cubic feet</f>
        <v/>
      </c>
    </row>
    <row r="10">
      <c r="A10" s="2" t="inlineStr">
        <is>
          <t>Barrels/day</t>
        </is>
      </c>
      <c r="B10" s="2" t="inlineStr">
        <is>
          <t>x 29.167 x 10⁻³</t>
        </is>
      </c>
      <c r="C10" s="2">
        <f> Gallons per minute</f>
        <v/>
      </c>
    </row>
    <row r="11">
      <c r="A11" s="2" t="inlineStr">
        <is>
          <t>Bars</t>
        </is>
      </c>
      <c r="B11" s="2" t="inlineStr">
        <is>
          <t>x 0.9869</t>
        </is>
      </c>
      <c r="C11" s="2">
        <f> Atmospheres</f>
        <v/>
      </c>
    </row>
    <row r="12">
      <c r="A12" s="2" t="inlineStr">
        <is>
          <t>Bars</t>
        </is>
      </c>
      <c r="B12" s="2" t="inlineStr">
        <is>
          <t>x 10⁶</t>
        </is>
      </c>
      <c r="C12" s="2">
        <f> Dynes/square centimeter</f>
        <v/>
      </c>
    </row>
    <row r="13">
      <c r="A13" s="2" t="inlineStr">
        <is>
          <t>Bars</t>
        </is>
      </c>
      <c r="B13" s="2" t="inlineStr">
        <is>
          <t>x 1.020 x 10⁴</t>
        </is>
      </c>
      <c r="C13" s="2">
        <f> Kilograms/square meter</f>
        <v/>
      </c>
    </row>
    <row r="14">
      <c r="A14" s="2" t="inlineStr">
        <is>
          <t>Bars</t>
        </is>
      </c>
      <c r="B14" s="2" t="inlineStr">
        <is>
          <t>x 2,089</t>
        </is>
      </c>
      <c r="C14" s="2">
        <f> Pounds/square foot</f>
        <v/>
      </c>
    </row>
    <row r="15">
      <c r="A15" s="2" t="inlineStr">
        <is>
          <t>Bars</t>
        </is>
      </c>
      <c r="B15" s="2" t="inlineStr">
        <is>
          <t>x 14.50</t>
        </is>
      </c>
      <c r="C15" s="2">
        <f> Pounds/square inch</f>
        <v/>
      </c>
    </row>
    <row r="16">
      <c r="A16" s="2" t="inlineStr">
        <is>
          <t>Btu</t>
        </is>
      </c>
      <c r="B16" s="2" t="inlineStr">
        <is>
          <t>x 1.055 x 10¹⁰</t>
        </is>
      </c>
      <c r="C16" s="2">
        <f> Ergs</f>
        <v/>
      </c>
    </row>
    <row r="17">
      <c r="A17" s="2" t="inlineStr">
        <is>
          <t>Btu</t>
        </is>
      </c>
      <c r="B17" s="2" t="inlineStr">
        <is>
          <t>x 778.3</t>
        </is>
      </c>
      <c r="C17" s="2">
        <f> Foot-pounds</f>
        <v/>
      </c>
    </row>
    <row r="18">
      <c r="A18" s="2" t="inlineStr">
        <is>
          <t>Btu</t>
        </is>
      </c>
      <c r="B18" s="2" t="inlineStr">
        <is>
          <t>x 252</t>
        </is>
      </c>
      <c r="C18" s="2">
        <f> Gram-calories</f>
        <v/>
      </c>
    </row>
    <row r="19">
      <c r="A19" s="2" t="inlineStr">
        <is>
          <t>Btu</t>
        </is>
      </c>
      <c r="B19" s="2" t="inlineStr">
        <is>
          <t>x 3.931 x 10⁻⁴</t>
        </is>
      </c>
      <c r="C19" s="2">
        <f> Horsepower-hours</f>
        <v/>
      </c>
    </row>
    <row r="20">
      <c r="A20" s="2" t="inlineStr">
        <is>
          <t>Btu</t>
        </is>
      </c>
      <c r="B20" s="2" t="inlineStr">
        <is>
          <t>x 1,054.8</t>
        </is>
      </c>
      <c r="C20" s="2">
        <f> Joules</f>
        <v/>
      </c>
    </row>
    <row r="21">
      <c r="A21" s="2" t="inlineStr">
        <is>
          <t>Btu</t>
        </is>
      </c>
      <c r="B21" s="2" t="inlineStr">
        <is>
          <t>x 0.252</t>
        </is>
      </c>
      <c r="C21" s="2">
        <f> Kilogram-calories</f>
        <v/>
      </c>
    </row>
    <row r="22">
      <c r="A22" s="2" t="inlineStr">
        <is>
          <t>Btu</t>
        </is>
      </c>
      <c r="B22" s="2" t="inlineStr">
        <is>
          <t>x 107.5</t>
        </is>
      </c>
      <c r="C22" s="2">
        <f> Kilogram-meters</f>
        <v/>
      </c>
    </row>
    <row r="23">
      <c r="A23" s="2" t="inlineStr">
        <is>
          <t>Btu</t>
        </is>
      </c>
      <c r="B23" s="2" t="inlineStr">
        <is>
          <t>x 2.298 x 10⁻⁴</t>
        </is>
      </c>
      <c r="C23" s="2">
        <f> Kilowatt-hours</f>
        <v/>
      </c>
    </row>
    <row r="24">
      <c r="A24" s="2" t="inlineStr">
        <is>
          <t>Btu/hour</t>
        </is>
      </c>
      <c r="B24" s="2" t="inlineStr">
        <is>
          <t>x 0.2162</t>
        </is>
      </c>
      <c r="C24" s="2">
        <f> Foot-pounds/second</f>
        <v/>
      </c>
    </row>
    <row r="25">
      <c r="A25" s="2" t="inlineStr">
        <is>
          <t>Btu/hour</t>
        </is>
      </c>
      <c r="B25" s="2" t="inlineStr">
        <is>
          <t>x 0.070</t>
        </is>
      </c>
      <c r="C25" s="2">
        <f> Gram-calories/second</f>
        <v/>
      </c>
    </row>
    <row r="26">
      <c r="A26" s="2" t="inlineStr">
        <is>
          <t>Btu/hour</t>
        </is>
      </c>
      <c r="B26" s="2" t="inlineStr">
        <is>
          <t>x 3.929 x 10⁻⁴</t>
        </is>
      </c>
      <c r="C26" s="2">
        <f> Horsepower-hours (British)</f>
        <v/>
      </c>
    </row>
    <row r="27">
      <c r="A27" s="2" t="inlineStr">
        <is>
          <t>Btu/hour</t>
        </is>
      </c>
      <c r="B27" s="2" t="inlineStr">
        <is>
          <t>x 0.2931</t>
        </is>
      </c>
      <c r="C27" s="2">
        <f> Watts</f>
        <v/>
      </c>
    </row>
    <row r="28">
      <c r="A28" s="2" t="inlineStr">
        <is>
          <t>Btu/hour foot² °F</t>
        </is>
      </c>
      <c r="B28" s="2" t="inlineStr">
        <is>
          <t>x 1.4882</t>
        </is>
      </c>
      <c r="C28" s="2">
        <f> Kilocalorie/meter hour °C</f>
        <v/>
      </c>
    </row>
    <row r="29">
      <c r="A29" s="2" t="inlineStr">
        <is>
          <t>Btu/hour</t>
        </is>
      </c>
      <c r="B29" s="2" t="inlineStr">
        <is>
          <t>x 2.7125</t>
        </is>
      </c>
      <c r="C29" s="2">
        <f> Kilocalorie/meter² hour</f>
        <v/>
      </c>
    </row>
    <row r="30">
      <c r="A30" s="2" t="inlineStr">
        <is>
          <t>Btu/pound</t>
        </is>
      </c>
      <c r="B30" s="2" t="inlineStr">
        <is>
          <t>x 0.5556</t>
        </is>
      </c>
      <c r="C30" s="2">
        <f> Kilocalorie/kilograms</f>
        <v/>
      </c>
    </row>
    <row r="31">
      <c r="A31" s="2" t="inlineStr">
        <is>
          <t>Btu/pound °F</t>
        </is>
      </c>
      <c r="B31" s="2" t="inlineStr">
        <is>
          <t>x 1</t>
        </is>
      </c>
      <c r="C31" s="2">
        <f> Kilocalorie/kilograms °C</f>
        <v/>
      </c>
    </row>
    <row r="32">
      <c r="A32" s="2" t="inlineStr">
        <is>
          <t>Btu inches/hour foot² °F</t>
        </is>
      </c>
      <c r="B32" s="2" t="inlineStr">
        <is>
          <t>x 0.12402</t>
        </is>
      </c>
      <c r="C32" s="2">
        <f> Kilocalorie/meter hour °C</f>
        <v/>
      </c>
    </row>
    <row r="33">
      <c r="A33" s="2" t="inlineStr">
        <is>
          <t>Btu/minute</t>
        </is>
      </c>
      <c r="B33" s="2" t="inlineStr">
        <is>
          <t>x 12.96</t>
        </is>
      </c>
      <c r="C33" s="2">
        <f> Foot-pounds/second</f>
        <v/>
      </c>
    </row>
    <row r="34">
      <c r="A34" s="2" t="inlineStr">
        <is>
          <t>Btu/minute</t>
        </is>
      </c>
      <c r="B34" s="2" t="inlineStr">
        <is>
          <t>x 0.02356</t>
        </is>
      </c>
      <c r="C34" s="2">
        <f> Horsepower</f>
        <v/>
      </c>
    </row>
    <row r="35">
      <c r="A35" s="2" t="inlineStr">
        <is>
          <t>Btu/minute</t>
        </is>
      </c>
      <c r="B35" s="2" t="inlineStr">
        <is>
          <t>x 0.01757</t>
        </is>
      </c>
      <c r="C35" s="2">
        <f> Kilowatts</f>
        <v/>
      </c>
    </row>
    <row r="36">
      <c r="A36" s="2" t="inlineStr">
        <is>
          <t>Btu/minute</t>
        </is>
      </c>
      <c r="B36" s="2" t="inlineStr">
        <is>
          <t>x 17.57</t>
        </is>
      </c>
      <c r="C36" s="2">
        <f> Watts</f>
        <v/>
      </c>
    </row>
    <row r="37">
      <c r="A37" s="2" t="inlineStr">
        <is>
          <t>Btu/square foot/minute</t>
        </is>
      </c>
      <c r="B37" s="2" t="inlineStr">
        <is>
          <t>x 0.1221</t>
        </is>
      </c>
      <c r="C37" s="2">
        <f> Watts/square inch</f>
        <v/>
      </c>
    </row>
    <row r="39">
      <c r="A39" t="inlineStr">
        <is>
          <t>Caption: Conversion factor B (continued on facing page)</t>
        </is>
      </c>
    </row>
    <row r="40">
      <c r="A40" t="inlineStr">
        <is>
          <t>Extracted from Process-Piping-Design-Rip-Weaver-Volume-1 page 181,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B (continued on facing page)</dc:title>
  <dc:description xmlns:dc="http://purl.org/dc/elements/1.1/">Process-Piping-Design-Rip-Weaver-Volume-1 p0181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2026-05-17T17:01:26Z</dcterms:modified>
  <cp:lastModifiedBy/>
</cp:coreProperties>
</file>