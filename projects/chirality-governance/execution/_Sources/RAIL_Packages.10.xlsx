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C:\Users\rtufts\Downloads\"/>
    </mc:Choice>
  </mc:AlternateContent>
  <xr:revisionPtr revIDLastSave="0" documentId="8_{5E7C83FD-9B31-4E95-81AD-87403E191192}" xr6:coauthVersionLast="47" xr6:coauthVersionMax="47" xr10:uidLastSave="{00000000-0000-0000-0000-000000000000}"/>
  <bookViews>
    <workbookView xWindow="-120" yWindow="-120" windowWidth="29040" windowHeight="15720" xr2:uid="{00000000-000D-0000-FFFF-FFFF00000000}"/>
  </bookViews>
  <sheets>
    <sheet name="RAIL" sheetId="1" r:id="rId1"/>
  </sheets>
  <externalReferences>
    <externalReference r:id="rId2"/>
  </externalReferences>
  <definedNames>
    <definedName name="Category">[1]Sheet1!$A$2:$A$9</definedName>
    <definedName name="Discipline">#REF!</definedName>
    <definedName name="IssueTo">#REF!</definedName>
    <definedName name="Person">#REF!</definedName>
    <definedName name="_xlnm.Print_Area" localSheetId="0">RAIL!$B$1:$V$40</definedName>
    <definedName name="_xlnm.Print_Titles" localSheetId="0">RAIL!$1:$8</definedName>
    <definedName name="Status">#REF!</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8" i="1" l="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tc={5FDFE22E-8897-42F6-B4E3-E806B0781B3B}</author>
    <author>tc={FBEB2CC2-B3AB-5047-AE87-1CE3BD568A0B}</author>
    <author>tc={9565D42E-1445-854D-B4D8-4766F5DDC7FA}</author>
    <author>tc={E1BD6C5F-3D88-C642-8E2C-5310FCC09956}</author>
    <author>tc={E70BD31A-7F20-2C40-BE4E-6FB11D52519E}</author>
    <author>tc={2468ECB4-D744-7A48-A0F5-2652B88035F9}</author>
    <author>tc={7CDDBA82-C7A0-FC49-BBDB-27A4621228F5}</author>
    <author>tc={428F88B4-8848-8C4B-BC7E-DBA89CE687C0}</author>
    <author>tc={A03AAA28-4C77-4C4E-84CB-375A7B7C1EB1}</author>
    <author>tc={AACF574F-7F99-F04D-B8B3-FADF48AD2B84}</author>
    <author>tc={9C0EF850-27E0-7949-9AF1-7FF3678F628A}</author>
    <author>tc={9AA56052-5C4F-4447-9A14-4B97B5D91668}</author>
    <author>tc={8BB29E06-E9B9-214D-846E-BD9AF77F42E2}</author>
    <author>tc={B012681F-47C8-5442-AF7E-783E82C51873}</author>
    <author>tc={66882A2C-9A6F-46D1-896C-6DB8EAB92498}</author>
    <author>tc={204105E2-3F1F-4DE9-AED6-A29D21E74478}</author>
    <author>tc={706D2CE7-464D-4F96-B98E-CF8A6302E24E}</author>
    <author>tc={33C31EBB-2B7A-2041-B9FA-11073581D5B3}</author>
    <author>tc={AD3E99F7-6BAA-694C-863A-AA8E2F7F94ED}</author>
    <author>tc={8D527373-602D-4A49-9017-B98B59FF706C}</author>
    <author>tc={3035D125-600B-4CAA-A119-F2F10C8B577F}</author>
    <author>tc={66AB1959-AF64-47C3-8CC1-94B77758BB98}</author>
    <author>tc={745B74C6-BFEA-4A18-A5CF-6234BA6F718F}</author>
    <author>tc={139150A5-A70D-4E86-A449-AAB850E40B5F}</author>
    <author>tc={106FB65C-AE88-4581-BC38-47F0D566A798}</author>
    <author>tc={E9DED29D-87B8-3346-BA13-067FA550D06A}</author>
    <author>tc={45094D9D-05CA-8548-B7F2-0C226D4B0F4E}</author>
  </authors>
  <commentList>
    <comment ref="U2" authorId="0" shapeId="0" xr:uid="{5FDFE22E-8897-42F6-B4E3-E806B0781B3B}">
      <text>
        <t xml:space="preserve">[Threaded comment]
Your version of Excel allows you to read this threaded comment; however, any edits to it will get removed if the file is opened in a newer version of Excel. Learn more: https://go.microsoft.com/fwlink/?linkid=870924
Comment:
    The Critical Distinction
Project-level HOLDs:
Cross organizational boundaries (between disciplines, to/from client, to/from third parties)
Require project leadership intervention
Affect project baselines (scope/schedule/budget)
Stop work or risk major rework if not resolved
Must be logged and tracked
Discipline-level HOLDs:
Internal to a discipline or individual
Handled through normal professional judgment or horizontal coordination
Aren't holding up other disciplines or project baselines
Part of routine work execution
Should NOT be logged as project-level Action Items
</t>
      </text>
    </comment>
    <comment ref="V2" authorId="1" shapeId="0" xr:uid="{FBEB2CC2-B3AB-5047-AE87-1CE3BD568A0B}">
      <text>
        <t>[Threaded comment]
Your version of Excel allows you to read this threaded comment; however, any edits to it will get removed if the file is opened in a newer version of Excel. Learn more: https://go.microsoft.com/fwlink/?linkid=870924
Comment:
    NOW = blocking other work or deadline is imminent so drop other plans if necessary to focus on this
NEXT = will become a NOW within the next 2 - 3 weeks so planning is still possible
LATER = not NOW, nor NEXT but is idenfitied within 6-week lookahead so planning is expected
AFTER = beyond 6-week lookahead, so no planning is expected</t>
      </text>
    </comment>
    <comment ref="T3" authorId="2" shapeId="0" xr:uid="{9565D42E-1445-854D-B4D8-4766F5DDC7FA}">
      <text>
        <t>[Threaded comment]
Your version of Excel allows you to read this threaded comment; however, any edits to it will get removed if the file is opened in a newer version of Excel. Learn more: https://go.microsoft.com/fwlink/?linkid=870924
Comment:
    What this tells you:
Someone is working on obtaining the decision/information/clarification/resource/approval
No obstacles are preventing progress
Expected to move toward completion on the tracked timeline
What this is NOT:
Sitting idle waiting for someone to start
Blocked by something else
Completed but not yet verified</t>
      </text>
    </comment>
    <comment ref="U3" authorId="3" shapeId="0" xr:uid="{E1BD6C5F-3D88-C642-8E2C-5310FCC09956}">
      <text>
        <t>[Threaded comment]
Your version of Excel allows you to read this threaded comment; however, any edits to it will get removed if the file is opened in a newer version of Excel. Learn more: https://go.microsoft.com/fwlink/?linkid=870924
Comment:
    What it is: A choice between alternatives that affects scope, schedule, budget, or crosses organizational boundariesExamples:
"Should we use approach A or B for the structural system?" (affects multiple disciplines downstream)
"Does the client want Option 1 or Option 2?" (changes what gets delivered)
"Do we meet the aggressive schedule or add resources?" (project baseline decision)
Who decides: Project leadership, client, or someone with authority across boundariesWhy it's a project-level HOLD: The decision affects multiple people/disciplines, changes project baselines, or requires external input. Work cannot proceed until decided because proceeding on assumptions risks major rework.Framework mechanism: Logged as Action Item, tracked in Decision Log, associated with affected deliverables</t>
      </text>
    </comment>
    <comment ref="V3" authorId="4" shapeId="0" xr:uid="{E70BD31A-7F20-2C40-BE4E-6FB11D52519E}">
      <text>
        <t>[Threaded comment]
Your version of Excel allows you to read this threaded comment; however, any edits to it will get removed if the file is opened in a newer version of Excel. Learn more: https://go.microsoft.com/fwlink/?linkid=870924
Comment:
    Attention must be given to this because it's blocking other work OR deadline is imminent. drop other plans if necessary</t>
      </text>
    </comment>
    <comment ref="T4" authorId="5" shapeId="0" xr:uid="{2468ECB4-D744-7A48-A0F5-2652B88035F9}">
      <text>
        <t>[Threaded comment]
Your version of Excel allows you to read this threaded comment; however, any edits to it will get removed if the file is opened in a newer version of Excel. Learn more: https://go.microsoft.com/fwlink/?linkid=870924
Comment:
    Meaning: The coordination action is blocked and cannot progress until something else resolves.
What this tells you:
Progress has stopped
There's a specific blocking condition
Requires intervention to unblock
What this is NOT:
Just slow progress (that's still "In Progress")
Low priority (that might be "In Progress" but deprioritized)
Waiting for normal review cycles (that's still "In Progress")
Key distinction from In Progress: Something specific is preventing any progress. The action cannot advance until the blocker is removed.</t>
      </text>
    </comment>
    <comment ref="U4" authorId="6" shapeId="0" xr:uid="{7CDDBA82-C7A0-FC49-BBDB-27A4621228F5}">
      <text>
        <t>[Threaded comment]
Your version of Excel allows you to read this threaded comment; however, any edits to it will get removed if the file is opened in a newer version of Excel. Learn more: https://go.microsoft.com/fwlink/?linkid=870924
Comment:
    What it is: Required input from outside the discipline/organization that work depends on
Examples:
"We need the client's design standards document to proceed with any calculations"
"We need the civil drawings showing column locations before we can design foundations"
"We need the regulatory approval letter before we can proceed to next phase"
"We need survey data from the third-party surveyor"
Who provides it: Client, other disciplines, third parties, regulators
Why it's a project-level HOLD: The information crosses organizational boundaries. Without it, the work either cannot start or will be based on assumptions that might require complete rework.
Framework mechanism: Logged as Action Item, assigned to whoever must obtain it, tracked until received</t>
      </text>
    </comment>
    <comment ref="V4" authorId="7" shapeId="0" xr:uid="{428F88B4-8848-8C4B-BC7E-DBA89CE687C0}">
      <text>
        <t>[Threaded comment]
Your version of Excel allows you to read this threaded comment; however, any edits to it will get removed if the file is opened in a newer version of Excel. Learn more: https://go.microsoft.com/fwlink/?linkid=870924
Comment:
    This is expected to become a NOW within 2-3 weeks.  But there's still enough time for this to be planned for according to the guidance of the 6-week lookahead in the combined project schedule, and the targeted completion dates in this action log</t>
      </text>
    </comment>
    <comment ref="T5" authorId="8" shapeId="0" xr:uid="{A03AAA28-4C77-4C4E-84CB-375A7B7C1EB1}">
      <text>
        <t>[Threaded comment]
Your version of Excel allows you to read this threaded comment; however, any edits to it will get removed if the file is opened in a newer version of Excel. Learn more: https://go.microsoft.com/fwlink/?linkid=870924
Comment:
    Meaning: The coordination action has been resolved and no longer requires tracking.
What this tells you:
The decision was made
The information was received
The clarification was obtained
The resource was secured
The approval was granted
The outcome is documented
What this is NOT:
"We think we have what we need" (not verified)
"Mostly done but waiting on one small thing" (not complete)
"We decided to proceed without it" (that's Cancelled)
Key requirement: There must be a clear outcome that can be documented. What was the decision? What information was received? What clarification was provided?</t>
      </text>
    </comment>
    <comment ref="U5" authorId="9" shapeId="0" xr:uid="{AACF574F-7F99-F04D-B8B3-FADF48AD2B84}">
      <text>
        <t>[Threaded comment]
Your version of Excel allows you to read this threaded comment; however, any edits to it will get removed if the file is opened in a newer version of Excel. Learn more: https://go.microsoft.com/fwlink/?linkid=870924
Comment:
    What it is: Ambiguity in scope, requirements, or intent that must be resolved by someone outside the discipline
Examples:
"The contract says 'adequate ventilation' but doesn't specify rates - what does client actually require?"
"Drawing shows 10 units but specification says 12 - which is correct?"
"Client email says 'ASAP' but what's the actual deadline?"
"Scope says 'design to code' but which edition of the code applies?"
Who clarifies: Client, project leadership, contract administrator, or authority that set the requirement
Why it's a project-level HOLD: The ambiguity affects what gets delivered, potentially scope/cost/schedule. Proceeding on interpretation risks delivering wrong thing. Needs external clarification to resolve.
Framework mechanism: Logged as Action Item, assigned to whoever must obtain clarification, decision logged once received</t>
      </text>
    </comment>
    <comment ref="V5" authorId="10" shapeId="0" xr:uid="{9C0EF850-27E0-7949-9AF1-7FF3678F628A}">
      <text>
        <t>[Threaded comment]
Your version of Excel allows you to read this threaded comment; however, any edits to it will get removed if the file is opened in a newer version of Excel. Learn more: https://go.microsoft.com/fwlink/?linkid=870924
Comment:
    This is identified as a requirement within the 6-week planning horizon so some effort on planning is expected</t>
      </text>
    </comment>
    <comment ref="T6" authorId="11" shapeId="0" xr:uid="{9AA56052-5C4F-4447-9A14-4B97B5D91668}">
      <text>
        <t>[Threaded comment]
Your version of Excel allows you to read this threaded comment; however, any edits to it will get removed if the file is opened in a newer version of Excel. Learn more: https://go.microsoft.com/fwlink/?linkid=870924
Comment:
    Meaning: The coordination action is no longer needed and will not be completed.
What this tells you:
Circumstances changed
The underlying need went away
The question is now moot
Pursuing it would be wasted effort
What this is NOT:
Failed to complete (use "On Hold" with explanation)
Deferred to later phase (should stay "In Progress" or "On Hold")
Key distinction from Complete: Nothing was resolved. The need simply went away.</t>
      </text>
    </comment>
    <comment ref="U6" authorId="12" shapeId="0" xr:uid="{8BB29E06-E9B9-214D-846E-BD9AF77F42E2}">
      <text>
        <t>[Threaded comment]
Your version of Excel allows you to read this threaded comment; however, any edits to it will get removed if the file is opened in a newer version of Excel. Learn more: https://go.microsoft.com/fwlink/?linkid=870924
Comment:
    What it is: Lack of people, tools, budget, or access required to execute the work
Examples:
"We need a structural PE to sign off on these calcs but none are available"
"We need specialized software license but don't have budget approval"
"The assigned engineer is overloaded on 3 other projects and has no capacity"
"We need site access to do the survey but client hasn't provided clearance"
"We need to hire a subconsultant for specialty work but need approval"
Who provides: Project leadership, management, client, or external parties
Why it's a project-level HOLD: The resource constraint crosses boundaries or requires management intervention. The work cannot proceed without escalation.
Framework mechanism: Logged as Action Item, escalated to whoever can authorize/provide the resource</t>
      </text>
    </comment>
    <comment ref="V6" authorId="13" shapeId="0" xr:uid="{B012681F-47C8-5442-AF7E-783E82C51873}">
      <text>
        <t>[Threaded comment]
Your version of Excel allows you to read this threaded comment; however, any edits to it will get removed if the file is opened in a newer version of Excel. Learn more: https://go.microsoft.com/fwlink/?linkid=870924
Comment:
    This falls outside the 6-week planning horizon so nothing is expected.  It can be opportunity work and has been logged as an action item so it can be tracked.</t>
      </text>
    </comment>
    <comment ref="E7" authorId="14" shapeId="0" xr:uid="{66882A2C-9A6F-46D1-896C-6DB8EAB92498}">
      <text>
        <t>[Threaded comment]
Your version of Excel allows you to read this threaded comment; however, any edits to it will get removed if the file is opened in a newer version of Excel. Learn more: https://go.microsoft.com/fwlink/?linkid=870924
Comment:
    Items with more than one type should be separated out into separate items to distinguish between these categories: action, information, decision, approval, clarification, opportunity.
Use the category column to associate sub-items, as needed.</t>
      </text>
    </comment>
    <comment ref="F7" authorId="15" shapeId="0" xr:uid="{204105E2-3F1F-4DE9-AED6-A29D21E74478}">
      <text>
        <t>[Threaded comment]
Your version of Excel allows you to read this threaded comment; however, any edits to it will get removed if the file is opened in a newer version of Excel. Learn more: https://go.microsoft.com/fwlink/?linkid=870924
Comment:
    Actions respond only to these needs:  information, clarification, resources, decisions, approvals</t>
      </text>
    </comment>
    <comment ref="G7" authorId="16" shapeId="0" xr:uid="{706D2CE7-464D-4F96-B98E-CF8A6302E24E}">
      <text>
        <t xml:space="preserve">[Threaded comment]
Your version of Excel allows you to read this threaded comment; however, any edits to it will get removed if the file is opened in a newer version of Excel. Learn more: https://go.microsoft.com/fwlink/?linkid=870924
Comment:
    Start with the yyyy-mm-dd of the update, then a brief description
</t>
      </text>
    </comment>
    <comment ref="H7" authorId="17" shapeId="0" xr:uid="{33C31EBB-2B7A-2041-B9FA-11073581D5B3}">
      <text>
        <t>[Threaded comment]
Your version of Excel allows you to read this threaded comment; however, any edits to it will get removed if the file is opened in a newer version of Excel. Learn more: https://go.microsoft.com/fwlink/?linkid=870924
Comment:
    See comments in dropdown list</t>
      </text>
    </comment>
    <comment ref="I7" authorId="18" shapeId="0" xr:uid="{AD3E99F7-6BAA-694C-863A-AA8E2F7F94ED}">
      <text>
        <t>[Threaded comment]
Your version of Excel allows you to read this threaded comment; however, any edits to it will get removed if the file is opened in a newer version of Excel. Learn more: https://go.microsoft.com/fwlink/?linkid=870924
Comment:
    See comments in dropdown list</t>
      </text>
    </comment>
    <comment ref="J7" authorId="19" shapeId="0" xr:uid="{8D527373-602D-4A49-9017-B98B59FF706C}">
      <text>
        <t>[Threaded comment]
Your version of Excel allows you to read this threaded comment; however, any edits to it will get removed if the file is opened in a newer version of Excel. Learn more: https://go.microsoft.com/fwlink/?linkid=870924
Comment:
    See comments in dropdown list</t>
      </text>
    </comment>
    <comment ref="L7" authorId="20" shapeId="0" xr:uid="{3035D125-600B-4CAA-A119-F2F10C8B577F}">
      <text>
        <t>[Threaded comment]
Your version of Excel allows you to read this threaded comment; however, any edits to it will get removed if the file is opened in a newer version of Excel. Learn more: https://go.microsoft.com/fwlink/?linkid=870924
Comment:
    YYYY-MM-DD</t>
      </text>
    </comment>
    <comment ref="M7" authorId="21" shapeId="0" xr:uid="{66AB1959-AF64-47C3-8CC1-94B77758BB98}">
      <text>
        <t>[Threaded comment]
Your version of Excel allows you to read this threaded comment; however, any edits to it will get removed if the file is opened in a newer version of Excel. Learn more: https://go.microsoft.com/fwlink/?linkid=870924
Comment:
    YYYY-MM-DD  
This baseline target completion date is used to quickly identify schedule slippage</t>
      </text>
    </comment>
    <comment ref="N7" authorId="22" shapeId="0" xr:uid="{745B74C6-BFEA-4A18-A5CF-6234BA6F718F}">
      <text>
        <t>[Threaded comment]
Your version of Excel allows you to read this threaded comment; however, any edits to it will get removed if the file is opened in a newer version of Excel. Learn more: https://go.microsoft.com/fwlink/?linkid=870924
Comment:
    YYYY-MM-DD Based on project schedule / 6-week lookahead and following the PRIORITY in column G</t>
      </text>
    </comment>
    <comment ref="O7" authorId="23" shapeId="0" xr:uid="{139150A5-A70D-4E86-A449-AAB850E40B5F}">
      <text>
        <t>[Threaded comment]
Your version of Excel allows you to read this threaded comment; however, any edits to it will get removed if the file is opened in a newer version of Excel. Learn more: https://go.microsoft.com/fwlink/?linkid=870924
Comment:
    YYYY-MM-DD</t>
      </text>
    </comment>
    <comment ref="S7" authorId="24" shapeId="0" xr:uid="{106FB65C-AE88-4581-BC38-47F0D566A798}">
      <text>
        <t>[Threaded comment]
Your version of Excel allows you to read this threaded comment; however, any edits to it will get removed if the file is opened in a newer version of Excel. Learn more: https://go.microsoft.com/fwlink/?linkid=870924
Comment:
    The other action item types are derived from the HOLD types in the other RAILs.  Action required means that the client has done something so that action is required of Lauren.  It could be information received (without requesting it), it could be documentation turnover, it could be a request to change scope or replace some resources, or anything really that the client is doing that requires action from Lauren.  The other statuses are for the client to do something and we are specific.  When requests are made by the client, it's simple that action is required and that request needs to be logged and tracked.  It can be distributed to other RAILs in a more categorized manner.</t>
      </text>
    </comment>
    <comment ref="T7" authorId="25" shapeId="0" xr:uid="{E9DED29D-87B8-3346-BA13-067FA550D06A}">
      <text>
        <t>[Threaded comment]
Your version of Excel allows you to read this threaded comment; however, any edits to it will get removed if the file is opened in a newer version of Excel. Learn more: https://go.microsoft.com/fwlink/?linkid=870924
Comment:
    Meaning: The coordination action is progressing, but circumstances suggest the requirement itself might change, potentially invalidating the work.
What this tells you:
Currently "In Progress" on the stated requirement
But there's active discussion/indication that the requirement might shift
Proceeding, but with awareness that the target might move
Need to monitor for potential pivot
Examples:
"Proceeding with design for 12 units per contract, but client has mentioned budget pressures and possible reduction to 10" (work continues but might need to change)
"Obtaining approval for Schedule A, but client is considering extending timeline which would affect what we're asking approval for" (the ask might change)
"Developing options for client decision, but stakeholder dynamics suggest new requirements might emerge before decision" (decision criteria might shift)
What this is NOT:
Blocked (that's "On Hold")
Vague uncertainty about everything (that's just normal project risk)
Someone's random speculation (there needs to be concrete indication of potential change)
Key distinction from In Progress: You're flagging that effort might be wasted if circumstances change. This creates awareness so leadership can decide whether to:
Continue and accept potential rework risk
Pause until situation clarifies
Seek clarification to lock down the requirement
Why this status exists: Prevents the situation where someone spends 2 weeks on something, then leadership says "oh yeah, we knew that might change, we should have told them to wait."</t>
      </text>
    </comment>
    <comment ref="U7" authorId="26" shapeId="0" xr:uid="{45094D9D-05CA-8548-B7F2-0C226D4B0F4E}">
      <text>
        <t>[Threaded comment]
Your version of Excel allows you to read this threaded comment; however, any edits to it will get removed if the file is opened in a newer version of Excel. Learn more: https://go.microsoft.com/fwlink/?linkid=870924
Comment:
    What it is: Formal sign-off required before work can proceed or be issued
Examples:
"Design is complete and ready for PE seal before issuing to client"
"Deliverable ready for project manager review before submitting for milestone"
"Approach complete and needs client approval before proceeding with detailed design"
"Change affects budget and needs sponsor approval before implementing"
Who approves: Someone with formal authority - PE, PM, client, sponsor, regulator
Why it's a project-level HOLD: The approval is a formal gate. Work downstream cannot start, or deliverable cannot be issued, until approval obtained. Affects project progress across boundaries.
Framework mechanism: Logged as Action Item, deliverable marked as "ready for approval," tracked through approval process</t>
      </text>
    </comment>
  </commentList>
</comments>
</file>

<file path=xl/sharedStrings.xml><?xml version="1.0" encoding="utf-8"?>
<sst xmlns="http://schemas.openxmlformats.org/spreadsheetml/2006/main" count="61" uniqueCount="53">
  <si>
    <t>In Progress</t>
  </si>
  <si>
    <t>On Hold</t>
  </si>
  <si>
    <t>Complete</t>
  </si>
  <si>
    <t>PROJECT NAME:</t>
  </si>
  <si>
    <t>PROJECT NO.:</t>
  </si>
  <si>
    <t>DOC NO.:</t>
  </si>
  <si>
    <t>DELIVERABLE TYPE</t>
  </si>
  <si>
    <t>Cancelled</t>
  </si>
  <si>
    <t>RESPONSIBLE DISCIPLINE</t>
  </si>
  <si>
    <t>STATUS</t>
  </si>
  <si>
    <t>UPDATES</t>
  </si>
  <si>
    <t>Process</t>
  </si>
  <si>
    <t>Civil</t>
  </si>
  <si>
    <t>Structural / Arch</t>
  </si>
  <si>
    <t>Instrumentation &amp; Controls</t>
  </si>
  <si>
    <t>Mechanical</t>
  </si>
  <si>
    <t>Electrical</t>
  </si>
  <si>
    <t>Project Management</t>
  </si>
  <si>
    <t>Regulatory</t>
  </si>
  <si>
    <t>Procurement</t>
  </si>
  <si>
    <t>Piping</t>
  </si>
  <si>
    <t>PRIORITY</t>
  </si>
  <si>
    <t>Now</t>
  </si>
  <si>
    <t>Next</t>
  </si>
  <si>
    <t>Later</t>
  </si>
  <si>
    <t xml:space="preserve"> </t>
  </si>
  <si>
    <t>DATE / VERSION:</t>
  </si>
  <si>
    <t>ASSIGNED 
DATE</t>
  </si>
  <si>
    <t>ORIGINAL  TARGET COMPLETION DATE</t>
  </si>
  <si>
    <t>CURRENT TARGET COMPLETION DATE</t>
  </si>
  <si>
    <t>ACTUAL COMPLETION 
DATE</t>
  </si>
  <si>
    <t>Risk of Change</t>
  </si>
  <si>
    <t>HOLD TYPES</t>
  </si>
  <si>
    <t>Decision</t>
  </si>
  <si>
    <t>Information</t>
  </si>
  <si>
    <t>Clarification</t>
  </si>
  <si>
    <t>Resources</t>
  </si>
  <si>
    <t>Approval</t>
  </si>
  <si>
    <t>DROPDOWN LISTS:</t>
  </si>
  <si>
    <t>After</t>
  </si>
  <si>
    <t>Master Deliverables List….</t>
  </si>
  <si>
    <t>Internal Deliverables…</t>
  </si>
  <si>
    <t>3rd Party Deliverables…</t>
  </si>
  <si>
    <t>NEXT APPROVAL STAGE</t>
  </si>
  <si>
    <t>ACTION ITEM TYPE</t>
  </si>
  <si>
    <t>ITEM TYPE</t>
  </si>
  <si>
    <t>ITEM DESCRIPTION</t>
  </si>
  <si>
    <t>Action</t>
  </si>
  <si>
    <t>Opportunity</t>
  </si>
  <si>
    <t>Item #</t>
  </si>
  <si>
    <t>PACKAGES RAIL</t>
  </si>
  <si>
    <t>PACKAGE</t>
  </si>
  <si>
    <t>RESPONSIBLE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</si>
</sst>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1009]d\-mmm\-yy;@"/>
    <numFmt numFmtId="166" formatCode="yyyy\-mm\-dd;@"/>
    <numFmt numFmtId="167" formatCode="[$-1009]mmmm\ d\,\ yyyy;@"/>
  </numFmts>
  <fonts count="22" x14ac:knownFonts="1">
    <font>
      <sz val="11"/>
      <color theme="1"/>
      <name val="Calibri"/>
      <family val="2"/>
      <scheme val="minor"/>
    </font>
    <font>
      <sz val="9"/>
      <color theme="1"/>
      <name val="Calibri"/>
      <family val="2"/>
      <scheme val="minor"/>
    </font>
    <font>
      <sz val="10"/>
      <name val="Arial"/>
      <family val="2"/>
    </font>
    <font>
      <sz val="10"/>
      <name val="Arial"/>
      <family val="2"/>
    </font>
    <font>
      <sz val="9"/>
      <name val="Calibri"/>
      <family val="2"/>
      <scheme val="minor"/>
    </font>
    <font>
      <b/>
      <sz val="8"/>
      <color theme="0" tint="-0.249977111117893"/>
      <name val="Arial"/>
      <family val="2"/>
    </font>
    <font>
      <sz val="8"/>
      <color theme="1"/>
      <name val="Arial"/>
      <family val="2"/>
    </font>
    <font>
      <sz val="9"/>
      <color theme="1"/>
      <name val="Arial"/>
      <family val="2"/>
    </font>
    <font>
      <b/>
      <sz val="8"/>
      <color theme="1"/>
      <name val="Arial"/>
      <family val="2"/>
    </font>
    <font>
      <b/>
      <sz val="8"/>
      <color theme="0" tint="-4.9989318521683403E-2"/>
      <name val="Arial"/>
      <family val="2"/>
    </font>
    <font>
      <sz val="11"/>
      <color theme="1"/>
      <name val="Calibri"/>
      <family val="2"/>
      <scheme val="minor"/>
    </font>
    <font>
      <sz val="8"/>
      <name val="Calibri"/>
      <family val="2"/>
      <scheme val="minor"/>
    </font>
    <font>
      <b/>
      <sz val="16"/>
      <color theme="0" tint="-0.249977111117893"/>
      <name val="Arial"/>
      <family val="2"/>
    </font>
    <font>
      <sz val="16"/>
      <color theme="1"/>
      <name val="Arial"/>
      <family val="2"/>
    </font>
    <font>
      <b/>
      <sz val="9"/>
      <color rgb="FFFFFF00"/>
      <name val="Arial"/>
      <family val="2"/>
    </font>
    <font>
      <b/>
      <sz val="11"/>
      <color rgb="FFFFFF00"/>
      <name val="Calibri"/>
      <family val="2"/>
      <scheme val="minor"/>
    </font>
    <font>
      <b/>
      <sz val="18"/>
      <color rgb="FFFFFF00"/>
      <name val="Arial"/>
      <family val="2"/>
    </font>
    <font>
      <b/>
      <sz val="18"/>
      <color rgb="FF000000"/>
      <name val="Calibri"/>
      <family val="2"/>
      <scheme val="minor"/>
    </font>
    <font>
      <sz val="11"/>
      <color rgb="FF000000"/>
      <name val="Calibri"/>
      <family val="2"/>
      <scheme val="minor"/>
    </font>
    <font>
      <b/>
      <sz val="11"/>
      <color rgb="FF000000"/>
      <name val="Calibri"/>
      <family val="2"/>
      <scheme val="minor"/>
    </font>
    <font>
      <b/>
      <sz val="10"/>
      <color theme="0" tint="-4.9989318521683403E-2"/>
      <name val="Arial"/>
      <family val="2"/>
    </font>
    <font>
      <b/>
      <sz val="10"/>
      <color rgb="FF1FD1D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1A3D6D"/>
        <bgColor indexed="64"/>
      </patternFill>
    </fill>
    <fill>
      <patternFill patternType="solid">
        <fgColor theme="0" tint="-0.249977111117893"/>
        <bgColor indexed="64"/>
      </patternFill>
    </fill>
    <fill>
      <patternFill patternType="solid">
        <fgColor rgb="FF7030A0"/>
        <bgColor indexed="64"/>
      </patternFill>
    </fill>
    <fill>
      <patternFill patternType="solid">
        <fgColor rgb="FF0070C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s>
  <cellStyleXfs count="7">
    <xf numFmtId="165" fontId="0" fillId="0" borderId="0"/>
    <xf numFmtId="165" fontId="3" fillId="0" borderId="0"/>
    <xf numFmtId="165" fontId="2" fillId="0" borderId="0"/>
    <xf numFmtId="9" fontId="2" fillId="0" borderId="0" applyFont="0" applyFill="0" applyBorder="0" applyAlignment="0" applyProtection="0"/>
    <xf numFmtId="164" fontId="2" fillId="0" borderId="0" applyFont="0" applyFill="0" applyBorder="0" applyAlignment="0" applyProtection="0"/>
    <xf numFmtId="0" fontId="10" fillId="0" borderId="0"/>
    <xf numFmtId="164" fontId="10" fillId="0" borderId="0" applyFont="0" applyFill="0" applyBorder="0" applyAlignment="0" applyProtection="0"/>
  </cellStyleXfs>
  <cellXfs count="52">
    <xf numFmtId="165" fontId="0" fillId="0" borderId="0" xfId="0"/>
    <xf numFmtId="165" fontId="1" fillId="0" borderId="0" xfId="0" applyFont="1"/>
    <xf numFmtId="165" fontId="1" fillId="0" borderId="1" xfId="0" applyFont="1" applyBorder="1" applyAlignment="1">
      <alignment horizontal="left" vertical="center" wrapText="1"/>
    </xf>
    <xf numFmtId="165" fontId="1" fillId="0" borderId="1" xfId="0" applyFont="1" applyBorder="1" applyAlignment="1">
      <alignment horizontal="center" vertical="center" wrapText="1"/>
    </xf>
    <xf numFmtId="165" fontId="1" fillId="0" borderId="1" xfId="0" quotePrefix="1" applyFont="1" applyBorder="1" applyAlignment="1">
      <alignment horizontal="center" vertical="center" wrapText="1"/>
    </xf>
    <xf numFmtId="165" fontId="1" fillId="0" borderId="1" xfId="0" applyFont="1" applyBorder="1" applyAlignment="1">
      <alignment horizontal="left" vertical="top" wrapText="1"/>
    </xf>
    <xf numFmtId="165" fontId="1" fillId="0" borderId="1" xfId="0" applyFont="1" applyBorder="1" applyAlignment="1">
      <alignment horizontal="center" vertical="top" wrapText="1"/>
    </xf>
    <xf numFmtId="165" fontId="0" fillId="0" borderId="0" xfId="0" applyAlignment="1">
      <alignment horizontal="center"/>
    </xf>
    <xf numFmtId="165" fontId="0" fillId="0" borderId="0" xfId="0" applyAlignment="1">
      <alignment horizontal="left"/>
    </xf>
    <xf numFmtId="165" fontId="4" fillId="0" borderId="1" xfId="0" applyFont="1" applyBorder="1" applyAlignment="1">
      <alignment horizontal="left" vertical="top" wrapText="1"/>
    </xf>
    <xf numFmtId="1" fontId="1" fillId="0" borderId="1" xfId="0" applyNumberFormat="1" applyFont="1" applyBorder="1" applyAlignment="1">
      <alignment horizontal="center" vertical="center" wrapText="1"/>
    </xf>
    <xf numFmtId="1" fontId="0" fillId="0" borderId="0" xfId="0" applyNumberFormat="1" applyAlignment="1">
      <alignment horizontal="center"/>
    </xf>
    <xf numFmtId="165" fontId="1" fillId="0" borderId="3" xfId="0" applyFont="1" applyBorder="1" applyAlignment="1">
      <alignment horizontal="left" vertical="center" wrapText="1"/>
    </xf>
    <xf numFmtId="165" fontId="1" fillId="0" borderId="3" xfId="0" applyFont="1" applyBorder="1" applyAlignment="1">
      <alignment horizontal="left" vertical="top" wrapText="1"/>
    </xf>
    <xf numFmtId="165" fontId="1" fillId="0" borderId="3" xfId="0" quotePrefix="1" applyFont="1" applyBorder="1" applyAlignment="1">
      <alignment horizontal="center" vertical="center" wrapText="1"/>
    </xf>
    <xf numFmtId="165" fontId="5" fillId="0" borderId="0" xfId="0" applyFont="1" applyAlignment="1">
      <alignment horizontal="right"/>
    </xf>
    <xf numFmtId="165" fontId="5" fillId="0" borderId="0" xfId="0" applyFont="1" applyAlignment="1">
      <alignment horizontal="right" vertical="center"/>
    </xf>
    <xf numFmtId="165" fontId="6" fillId="0" borderId="0" xfId="0" applyFont="1" applyAlignment="1">
      <alignment horizontal="right" vertical="center"/>
    </xf>
    <xf numFmtId="165" fontId="7" fillId="0" borderId="0" xfId="0" applyFont="1"/>
    <xf numFmtId="14" fontId="8" fillId="0" borderId="0" xfId="0" applyNumberFormat="1" applyFont="1"/>
    <xf numFmtId="165" fontId="8" fillId="2" borderId="0" xfId="0" applyFont="1" applyFill="1"/>
    <xf numFmtId="165" fontId="9" fillId="3" borderId="0" xfId="0" applyFont="1" applyFill="1"/>
    <xf numFmtId="14" fontId="6" fillId="0" borderId="0" xfId="0" applyNumberFormat="1" applyFont="1"/>
    <xf numFmtId="165" fontId="6" fillId="0" borderId="0" xfId="0" applyFont="1"/>
    <xf numFmtId="165" fontId="1" fillId="0" borderId="2" xfId="0" applyFont="1" applyBorder="1" applyAlignment="1">
      <alignment horizontal="left" vertical="center" wrapText="1"/>
    </xf>
    <xf numFmtId="165" fontId="1" fillId="0" borderId="1" xfId="0" quotePrefix="1" applyFont="1" applyBorder="1" applyAlignment="1">
      <alignment horizontal="left" vertical="center" wrapText="1"/>
    </xf>
    <xf numFmtId="1" fontId="1" fillId="0" borderId="4" xfId="0" applyNumberFormat="1" applyFont="1" applyBorder="1" applyAlignment="1">
      <alignment horizontal="center" vertical="center" wrapText="1"/>
    </xf>
    <xf numFmtId="0" fontId="1" fillId="0" borderId="0" xfId="0" applyNumberFormat="1" applyFont="1" applyAlignment="1">
      <alignment horizontal="center" vertical="center" wrapText="1"/>
    </xf>
    <xf numFmtId="0" fontId="1" fillId="0" borderId="0" xfId="0" quotePrefix="1" applyNumberFormat="1" applyFont="1" applyAlignment="1" applyProtection="1">
      <alignment vertical="top" wrapText="1"/>
      <protection locked="0"/>
    </xf>
    <xf numFmtId="165" fontId="0" fillId="6" borderId="0" xfId="0" applyFill="1"/>
    <xf numFmtId="165" fontId="5" fillId="0" borderId="0" xfId="0" applyFont="1" applyAlignment="1">
      <alignment horizontal="center"/>
    </xf>
    <xf numFmtId="165" fontId="5" fillId="0" borderId="0" xfId="0" applyFont="1" applyAlignment="1">
      <alignment horizontal="center" vertical="center"/>
    </xf>
    <xf numFmtId="165" fontId="4" fillId="0" borderId="1" xfId="0" applyFont="1" applyBorder="1" applyAlignment="1">
      <alignment horizontal="center" vertical="top" wrapText="1"/>
    </xf>
    <xf numFmtId="165" fontId="1" fillId="0" borderId="3" xfId="0" applyFont="1" applyBorder="1" applyAlignment="1">
      <alignment horizontal="center" vertical="center" wrapText="1"/>
    </xf>
    <xf numFmtId="166" fontId="1" fillId="0" borderId="1" xfId="0" quotePrefix="1" applyNumberFormat="1" applyFont="1" applyBorder="1" applyAlignment="1">
      <alignment horizontal="left" vertical="center" wrapText="1"/>
    </xf>
    <xf numFmtId="166" fontId="1" fillId="0" borderId="1" xfId="0" applyNumberFormat="1" applyFont="1" applyBorder="1" applyAlignment="1">
      <alignment horizontal="left" vertical="center" wrapText="1"/>
    </xf>
    <xf numFmtId="166" fontId="1" fillId="0" borderId="1" xfId="0" applyNumberFormat="1" applyFont="1" applyBorder="1" applyAlignment="1">
      <alignment horizontal="left" vertical="top" wrapText="1"/>
    </xf>
    <xf numFmtId="166" fontId="4" fillId="0" borderId="1" xfId="0" applyNumberFormat="1" applyFont="1" applyBorder="1" applyAlignment="1">
      <alignment horizontal="left" vertical="top" wrapText="1"/>
    </xf>
    <xf numFmtId="166" fontId="1" fillId="0" borderId="3" xfId="0" applyNumberFormat="1" applyFont="1" applyBorder="1" applyAlignment="1">
      <alignment horizontal="left" vertical="center" wrapText="1"/>
    </xf>
    <xf numFmtId="165" fontId="12" fillId="0" borderId="0" xfId="0" applyFont="1" applyAlignment="1">
      <alignment horizontal="right" vertical="center"/>
    </xf>
    <xf numFmtId="1" fontId="1" fillId="0" borderId="1" xfId="0" applyNumberFormat="1" applyFont="1" applyBorder="1" applyAlignment="1">
      <alignment horizontal="left" vertical="top" wrapText="1"/>
    </xf>
    <xf numFmtId="165" fontId="1" fillId="0" borderId="1" xfId="0" applyFont="1" applyBorder="1" applyAlignment="1" applyProtection="1">
      <alignment horizontal="center" vertical="center" wrapText="1"/>
      <protection locked="0"/>
    </xf>
    <xf numFmtId="167" fontId="13" fillId="0" borderId="0" xfId="0" applyNumberFormat="1" applyFont="1" applyAlignment="1">
      <alignment horizontal="right" vertical="center"/>
    </xf>
    <xf numFmtId="1" fontId="14" fillId="5" borderId="1" xfId="0" applyNumberFormat="1" applyFont="1" applyFill="1" applyBorder="1" applyAlignment="1">
      <alignment horizontal="center" vertical="center" wrapText="1"/>
    </xf>
    <xf numFmtId="165" fontId="14" fillId="5" borderId="1" xfId="0" applyFont="1" applyFill="1" applyBorder="1" applyAlignment="1">
      <alignment horizontal="center" vertical="center" wrapText="1"/>
    </xf>
    <xf numFmtId="165" fontId="15" fillId="7" borderId="0" xfId="0" applyFont="1" applyFill="1"/>
    <xf numFmtId="165" fontId="16" fillId="5" borderId="0" xfId="2" applyFont="1" applyFill="1" applyAlignment="1">
      <alignment horizontal="right" vertical="center" wrapText="1"/>
    </xf>
    <xf numFmtId="165" fontId="17" fillId="0" borderId="0" xfId="0" applyFont="1"/>
    <xf numFmtId="165" fontId="19" fillId="0" borderId="0" xfId="0" applyFont="1"/>
    <xf numFmtId="165" fontId="18" fillId="0" borderId="0" xfId="0" applyFont="1"/>
    <xf numFmtId="165" fontId="20" fillId="4" borderId="0" xfId="0" applyFont="1" applyFill="1"/>
    <xf numFmtId="165" fontId="21" fillId="8" borderId="0" xfId="0" applyFont="1" applyFill="1"/>
  </cellXfs>
  <cellStyles count="7">
    <cellStyle name="Currency 2" xfId="4" xr:uid="{00000000-0005-0000-0000-000001000000}"/>
    <cellStyle name="Currency 3" xfId="6" xr:uid="{7E4AA375-AB26-4B51-9CAE-D1063B101BF5}"/>
    <cellStyle name="Normal" xfId="0" builtinId="0"/>
    <cellStyle name="Normal 2" xfId="1" xr:uid="{00000000-0005-0000-0000-000003000000}"/>
    <cellStyle name="Normal 2 2" xfId="2" xr:uid="{00000000-0005-0000-0000-000004000000}"/>
    <cellStyle name="Normal 3" xfId="5" xr:uid="{71A18A8E-A6C7-4736-BFDA-D187403CDFD8}"/>
    <cellStyle name="Percent 2" xfId="3" xr:uid="{00000000-0005-0000-0000-000005000000}"/>
  </cellStyles>
  <dxfs count="39">
    <dxf>
      <font>
        <b val="0"/>
        <i val="0"/>
        <strike val="0"/>
        <condense val="0"/>
        <extend val="0"/>
        <outline val="0"/>
        <shadow val="0"/>
        <u val="none"/>
        <vertAlign val="baseline"/>
        <sz val="9"/>
        <color theme="1"/>
        <name val="Calibri"/>
        <scheme val="minor"/>
      </font>
      <numFmt numFmtId="1" formatCode="0"/>
      <fill>
        <patternFill patternType="none">
          <fgColor indexed="64"/>
          <bgColor indexed="65"/>
        </patternFill>
      </fill>
      <alignment horizontal="center" vertical="top" textRotation="0" wrapText="1" indent="0" justifyLastLine="0" shrinkToFit="0" readingOrder="0"/>
      <border diagonalUp="0" diagonalDown="0">
        <top style="thin">
          <color auto="1"/>
        </top>
        <bottom style="thin">
          <color auto="1"/>
        </bottom>
      </border>
    </dxf>
    <dxf>
      <font>
        <b/>
        <i val="0"/>
        <color theme="0"/>
      </font>
      <fill>
        <patternFill>
          <bgColor rgb="FFFF0000"/>
        </patternFill>
      </fill>
    </dxf>
    <dxf>
      <font>
        <b/>
        <i val="0"/>
        <color rgb="FFFFFF00"/>
      </font>
      <fill>
        <patternFill>
          <bgColor rgb="FF7030A0"/>
        </patternFill>
      </fill>
    </dxf>
    <dxf>
      <font>
        <b/>
        <i val="0"/>
        <color theme="0"/>
      </font>
      <fill>
        <patternFill>
          <bgColor rgb="FF00B050"/>
        </patternFill>
      </fill>
    </dxf>
    <dxf>
      <font>
        <b/>
        <i val="0"/>
        <color theme="1"/>
      </font>
      <fill>
        <patternFill>
          <bgColor rgb="FFFFFF00"/>
        </patternFill>
      </fill>
    </dxf>
    <dxf>
      <font>
        <b val="0"/>
        <i val="0"/>
        <color theme="1"/>
      </font>
      <fill>
        <patternFill>
          <bgColor theme="0" tint="-0.24994659260841701"/>
        </patternFill>
      </fill>
    </dxf>
    <dxf>
      <font>
        <b/>
        <i val="0"/>
        <color rgb="FF00FFFF"/>
      </font>
      <fill>
        <patternFill>
          <bgColor rgb="FF0070C0"/>
        </patternFill>
      </fill>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left/>
        <right/>
        <top style="thin">
          <color auto="1"/>
        </top>
        <bottom/>
      </border>
    </dxf>
    <dxf>
      <font>
        <b val="0"/>
        <i val="0"/>
        <strike val="0"/>
        <outline val="0"/>
        <shadow val="0"/>
        <u val="none"/>
        <vertAlign val="baseline"/>
        <sz val="9"/>
        <color theme="1"/>
        <name val="Calibri"/>
        <scheme val="minor"/>
      </font>
      <numFmt numFmtId="166" formatCode="yyyy\-mm\-dd;@"/>
      <fill>
        <patternFill patternType="none">
          <fgColor indexed="64"/>
          <bgColor auto="1"/>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66" formatCode="yyyy\-mm\-dd;@"/>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66" formatCode="yyyy\-mm\-dd;@"/>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scheme val="minor"/>
      </font>
      <numFmt numFmtId="1" formatCode="0"/>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scheme val="minor"/>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border>
        <top style="thin">
          <color auto="1"/>
        </top>
      </border>
    </dxf>
    <dxf>
      <border diagonalUp="0" diagonalDown="0">
        <left style="thin">
          <color auto="1"/>
        </left>
        <right style="thin">
          <color auto="1"/>
        </right>
        <top style="medium">
          <color indexed="64"/>
        </top>
        <bottom style="thin">
          <color auto="1"/>
        </bottom>
      </border>
    </dxf>
    <dxf>
      <font>
        <b val="0"/>
        <i val="0"/>
        <strike val="0"/>
        <outline val="0"/>
        <shadow val="0"/>
        <u val="none"/>
        <vertAlign val="baseline"/>
        <sz val="9"/>
        <color theme="1"/>
        <name val="Calibri"/>
        <scheme val="minor"/>
      </font>
      <fill>
        <patternFill patternType="none">
          <fgColor indexed="64"/>
          <bgColor auto="1"/>
        </patternFill>
      </fill>
    </dxf>
    <dxf>
      <border>
        <bottom style="thin">
          <color auto="1"/>
        </bottom>
      </border>
    </dxf>
    <dxf>
      <font>
        <b/>
        <i val="0"/>
        <strike val="0"/>
        <condense val="0"/>
        <extend val="0"/>
        <outline val="0"/>
        <shadow val="0"/>
        <u val="none"/>
        <vertAlign val="baseline"/>
        <sz val="9"/>
        <color rgb="FFFFFF00"/>
        <name val="Arial"/>
        <family val="2"/>
        <scheme val="none"/>
      </font>
      <alignment horizontal="center" vertical="center" textRotation="0" wrapText="1" relative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FFFF"/>
      <color rgb="FF1A3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antern.laurenec.com/Users/mstaite/AppData/Local/Microsoft/Windows/Temporary%20Internet%20Files/Content.Outlook/TBMOKA3J/EngDecL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 Progress"/>
      <sheetName val="Sheet1"/>
    </sheetNames>
    <sheetDataSet>
      <sheetData sheetId="0"/>
      <sheetData sheetId="1">
        <row r="2">
          <cell r="A2" t="str">
            <v>Civil</v>
          </cell>
        </row>
        <row r="3">
          <cell r="A3" t="str">
            <v>DocCon</v>
          </cell>
        </row>
        <row r="4">
          <cell r="A4" t="str">
            <v>Drafting</v>
          </cell>
        </row>
        <row r="5">
          <cell r="A5" t="str">
            <v>E&amp;I</v>
          </cell>
        </row>
        <row r="6">
          <cell r="A6" t="str">
            <v>Mapping</v>
          </cell>
        </row>
        <row r="7">
          <cell r="A7" t="str">
            <v>Pipeline</v>
          </cell>
        </row>
        <row r="8">
          <cell r="A8" t="str">
            <v>Procurement</v>
          </cell>
        </row>
        <row r="9">
          <cell r="A9" t="str">
            <v>SOW</v>
          </cell>
        </row>
      </sheetData>
    </sheetDataSet>
  </externalBook>
</externalLink>
</file>

<file path=xl/persons/person.xml><?xml version="1.0" encoding="utf-8"?>
<personList xmlns="http://schemas.microsoft.com/office/spreadsheetml/2018/threadedcomments" xmlns:x="http://schemas.openxmlformats.org/spreadsheetml/2006/main">
  <person displayName="Ryan Tufts" id="{D30AEC75-9C19-364E-B1D5-EABF1D36ABC2}" userId="d7f3ed5db7c8870a" providerId="Windows Live"/>
  <person displayName="Ryan Tufts" id="{323CCFD2-510B-462F-88C3-CAA255AEDD12}" userId="S::ryan.tufts@laurenservices.com::53ec363e-eefa-4b98-a585-6375a7d5bfb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7:O207" totalsRowShown="0" headerRowDxfId="38" dataDxfId="36" headerRowBorderDxfId="37" tableBorderDxfId="35" totalsRowBorderDxfId="34">
  <autoFilter ref="B7:O207" xr:uid="{00000000-0009-0000-0100-000001000000}"/>
  <sortState xmlns:xlrd2="http://schemas.microsoft.com/office/spreadsheetml/2017/richdata2" ref="B8:G164">
    <sortCondition ref="B7:B164"/>
  </sortState>
  <tableColumns count="14">
    <tableColumn id="1" xr3:uid="{00000000-0010-0000-0000-000001000000}" name="Item #" dataDxfId="0" totalsRowDxfId="33">
      <calculatedColumnFormula>_xlfn.CONCAT("PKG-",A8)</calculatedColumnFormula>
    </tableColumn>
    <tableColumn id="4" xr3:uid="{00000000-0010-0000-0000-000004000000}" name="RESPONSIBLE PARTY" dataDxfId="32" totalsRowDxfId="31"/>
    <tableColumn id="5" xr3:uid="{3283D5DB-798E-460D-A27D-D3EEAAD48D84}" name="PACKAGE" dataDxfId="30" totalsRowDxfId="29"/>
    <tableColumn id="13" xr3:uid="{3D382794-69FD-48E6-88CE-9298DE9547A3}" name="ITEM TYPE" dataDxfId="28" totalsRowDxfId="27"/>
    <tableColumn id="3" xr3:uid="{00000000-0010-0000-0000-000003000000}" name="ITEM DESCRIPTION" dataDxfId="26" totalsRowDxfId="25"/>
    <tableColumn id="7" xr3:uid="{00000000-0010-0000-0000-000007000000}" name="UPDATES" dataDxfId="24" totalsRowDxfId="23"/>
    <tableColumn id="15" xr3:uid="{0C2A5E4D-6CB5-4C74-92C3-C1386AFD1B6B}" name="STATUS" dataDxfId="22" totalsRowDxfId="21"/>
    <tableColumn id="8" xr3:uid="{9A626F4C-F58B-0C48-AC85-C78A967D3378}" name="HOLD TYPES" dataDxfId="20" totalsRowDxfId="19"/>
    <tableColumn id="10" xr3:uid="{9B497C55-C1C1-47F3-B2E1-BA00C44EB521}" name="PRIORITY" dataDxfId="18" totalsRowDxfId="17"/>
    <tableColumn id="12" xr3:uid="{CD08BE57-A482-44AF-A989-C2163CEE50CF}" name="NEXT APPROVAL STAGE" dataDxfId="16" totalsRowDxfId="15"/>
    <tableColumn id="9" xr3:uid="{AEE8B27A-437F-44ED-9E58-2A18CE70AF48}" name="ASSIGNED _x000a_DATE" dataDxfId="14" totalsRowDxfId="13"/>
    <tableColumn id="2" xr3:uid="{05FDE66F-BF96-40F0-8538-F777B1E7E877}" name="ORIGINAL  TARGET COMPLETION DATE" dataDxfId="12" totalsRowDxfId="11"/>
    <tableColumn id="11" xr3:uid="{A59252B6-2CA0-464B-A313-779BFC1A7EAB}" name="CURRENT TARGET COMPLETION DATE" dataDxfId="10" totalsRowDxfId="9"/>
    <tableColumn id="6" xr3:uid="{BC7F3353-54E9-4B5B-85A2-BF215D358B3E}" name="ACTUAL COMPLETION _x000a_DATE" dataDxfId="8" totalsRowDxfId="7"/>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2" dT="2025-10-19T23:06:14.36" personId="{323CCFD2-510B-462F-88C3-CAA255AEDD12}" id="{5FDFE22E-8897-42F6-B4E3-E806B0781B3B}">
    <text xml:space="preserve">The Critical Distinction
Project-level HOLDs:
Cross organizational boundaries (between disciplines, to/from client, to/from third parties)
Require project leadership intervention
Affect project baselines (scope/schedule/budget)
Stop work or risk major rework if not resolved
Must be logged and tracked
Discipline-level HOLDs:
Internal to a discipline or individual
Handled through normal professional judgment or horizontal coordination
Aren't holding up other disciplines or project baselines
Part of routine work execution
Should NOT be logged as project-level Action Items
</text>
  </threadedComment>
  <threadedComment ref="V2" dT="2025-10-19T20:55:53.03" personId="{D30AEC75-9C19-364E-B1D5-EABF1D36ABC2}" id="{FBEB2CC2-B3AB-5047-AE87-1CE3BD568A0B}">
    <text>NOW = blocking other work or deadline is imminent so drop other plans if necessary to focus on this
NEXT = will become a NOW within the next 2 - 3 weeks so planning is still possible
LATER = not NOW, nor NEXT but is idenfitied within 6-week lookahead so planning is expected
AFTER = beyond 6-week lookahead, so no planning is expected</text>
  </threadedComment>
  <threadedComment ref="T3" dT="2025-10-19T20:42:11.69" personId="{D30AEC75-9C19-364E-B1D5-EABF1D36ABC2}" id="{9565D42E-1445-854D-B4D8-4766F5DDC7FA}">
    <text>What this tells you:
Someone is working on obtaining the decision/information/clarification/resource/approval
No obstacles are preventing progress
Expected to move toward completion on the tracked timeline
What this is NOT:
Sitting idle waiting for someone to start
Blocked by something else
Completed but not yet verified</text>
  </threadedComment>
  <threadedComment ref="U3" dT="2025-10-19T20:23:17.65" personId="{D30AEC75-9C19-364E-B1D5-EABF1D36ABC2}" id="{E1BD6C5F-3D88-C642-8E2C-5310FCC09956}">
    <text>What it is: A choice between alternatives that affects scope, schedule, budget, or crosses organizational boundariesExamples:
"Should we use approach A or B for the structural system?" (affects multiple disciplines downstream)
"Does the client want Option 1 or Option 2?" (changes what gets delivered)
"Do we meet the aggressive schedule or add resources?" (project baseline decision)
Who decides: Project leadership, client, or someone with authority across boundariesWhy it's a project-level HOLD: The decision affects multiple people/disciplines, changes project baselines, or requires external input. Work cannot proceed until decided because proceeding on assumptions risks major rework.Framework mechanism: Logged as Action Item, tracked in Decision Log, associated with affected deliverables</text>
  </threadedComment>
  <threadedComment ref="V3" dT="2025-10-19T20:57:05.16" personId="{D30AEC75-9C19-364E-B1D5-EABF1D36ABC2}" id="{E70BD31A-7F20-2C40-BE4E-6FB11D52519E}">
    <text>Attention must be given to this because it's blocking other work OR deadline is imminent. drop other plans if necessary</text>
  </threadedComment>
  <threadedComment ref="T4" dT="2025-10-19T20:42:27.37" personId="{D30AEC75-9C19-364E-B1D5-EABF1D36ABC2}" id="{2468ECB4-D744-7A48-A0F5-2652B88035F9}">
    <text>Meaning: The coordination action is blocked and cannot progress until something else resolves.
What this tells you:
Progress has stopped
There's a specific blocking condition
Requires intervention to unblock
What this is NOT:
Just slow progress (that's still "In Progress")
Low priority (that might be "In Progress" but deprioritized)
Waiting for normal review cycles (that's still "In Progress")
Key distinction from In Progress: Something specific is preventing any progress. The action cannot advance until the blocker is removed.</text>
  </threadedComment>
  <threadedComment ref="U4" dT="2025-10-19T20:28:58.63" personId="{D30AEC75-9C19-364E-B1D5-EABF1D36ABC2}" id="{7CDDBA82-C7A0-FC49-BBDB-27A4621228F5}">
    <text>What it is: Required input from outside the discipline/organization that work depends on
Examples:
"We need the client's design standards document to proceed with any calculations"
"We need the civil drawings showing column locations before we can design foundations"
"We need the regulatory approval letter before we can proceed to next phase"
"We need survey data from the third-party surveyor"
Who provides it: Client, other disciplines, third parties, regulators
Why it's a project-level HOLD: The information crosses organizational boundaries. Without it, the work either cannot start or will be based on assumptions that might require complete rework.
Framework mechanism: Logged as Action Item, assigned to whoever must obtain it, tracked until received</text>
  </threadedComment>
  <threadedComment ref="V4" dT="2025-10-19T20:57:46.55" personId="{D30AEC75-9C19-364E-B1D5-EABF1D36ABC2}" id="{428F88B4-8848-8C4B-BC7E-DBA89CE687C0}">
    <text>This is expected to become a NOW within 2-3 weeks.  But there's still enough time for this to be planned for according to the guidance of the 6-week lookahead in the combined project schedule, and the targeted completion dates in this action log</text>
  </threadedComment>
  <threadedComment ref="T5" dT="2025-10-19T20:45:06.20" personId="{D30AEC75-9C19-364E-B1D5-EABF1D36ABC2}" id="{A03AAA28-4C77-4C4E-84CB-375A7B7C1EB1}">
    <text>Meaning: The coordination action has been resolved and no longer requires tracking.
What this tells you:
The decision was made
The information was received
The clarification was obtained
The resource was secured
The approval was granted
The outcome is documented
What this is NOT:
"We think we have what we need" (not verified)
"Mostly done but waiting on one small thing" (not complete)
"We decided to proceed without it" (that's Cancelled)
Key requirement: There must be a clear outcome that can be documented. What was the decision? What information was received? What clarification was provided?</text>
  </threadedComment>
  <threadedComment ref="U5" dT="2025-10-19T20:29:35.42" personId="{D30AEC75-9C19-364E-B1D5-EABF1D36ABC2}" id="{AACF574F-7F99-F04D-B8B3-FADF48AD2B84}">
    <text>What it is: Ambiguity in scope, requirements, or intent that must be resolved by someone outside the discipline
Examples:
"The contract says 'adequate ventilation' but doesn't specify rates - what does client actually require?"
"Drawing shows 10 units but specification says 12 - which is correct?"
"Client email says 'ASAP' but what's the actual deadline?"
"Scope says 'design to code' but which edition of the code applies?"
Who clarifies: Client, project leadership, contract administrator, or authority that set the requirement
Why it's a project-level HOLD: The ambiguity affects what gets delivered, potentially scope/cost/schedule. Proceeding on interpretation risks delivering wrong thing. Needs external clarification to resolve.
Framework mechanism: Logged as Action Item, assigned to whoever must obtain clarification, decision logged once received</text>
  </threadedComment>
  <threadedComment ref="V5" dT="2025-10-19T20:58:48.69" personId="{D30AEC75-9C19-364E-B1D5-EABF1D36ABC2}" id="{9C0EF850-27E0-7949-9AF1-7FF3678F628A}">
    <text>This is identified as a requirement within the 6-week planning horizon so some effort on planning is expected</text>
  </threadedComment>
  <threadedComment ref="T6" dT="2025-10-19T20:46:05.17" personId="{D30AEC75-9C19-364E-B1D5-EABF1D36ABC2}" id="{9AA56052-5C4F-4447-9A14-4B97B5D91668}">
    <text>Meaning: The coordination action is no longer needed and will not be completed.
What this tells you:
Circumstances changed
The underlying need went away
The question is now moot
Pursuing it would be wasted effort
What this is NOT:
Failed to complete (use "On Hold" with explanation)
Deferred to later phase (should stay "In Progress" or "On Hold")
Key distinction from Complete: Nothing was resolved. The need simply went away.</text>
  </threadedComment>
  <threadedComment ref="U6" dT="2025-10-19T20:31:12.03" personId="{D30AEC75-9C19-364E-B1D5-EABF1D36ABC2}" id="{8BB29E06-E9B9-214D-846E-BD9AF77F42E2}">
    <text>What it is: Lack of people, tools, budget, or access required to execute the work
Examples:
"We need a structural PE to sign off on these calcs but none are available"
"We need specialized software license but don't have budget approval"
"The assigned engineer is overloaded on 3 other projects and has no capacity"
"We need site access to do the survey but client hasn't provided clearance"
"We need to hire a subconsultant for specialty work but need approval"
Who provides: Project leadership, management, client, or external parties
Why it's a project-level HOLD: The resource constraint crosses boundaries or requires management intervention. The work cannot proceed without escalation.
Framework mechanism: Logged as Action Item, escalated to whoever can authorize/provide the resource</text>
  </threadedComment>
  <threadedComment ref="V6" dT="2025-10-19T21:26:37.47" personId="{D30AEC75-9C19-364E-B1D5-EABF1D36ABC2}" id="{B012681F-47C8-5442-AF7E-783E82C51873}">
    <text>This falls outside the 6-week planning horizon so nothing is expected.  It can be opportunity work and has been logged as an action item so it can be tracked.</text>
  </threadedComment>
  <threadedComment ref="E7" dT="2025-10-21T19:05:12.26" personId="{323CCFD2-510B-462F-88C3-CAA255AEDD12}" id="{66882A2C-9A6F-46D1-896C-6DB8EAB92498}">
    <text>Items with more than one type should be separated out into separate items to distinguish between these categories: action, information, decision, approval, clarification, opportunity.
Use the category column to associate sub-items, as needed.</text>
  </threadedComment>
  <threadedComment ref="F7" dT="2025-10-16T04:45:29.10" personId="{323CCFD2-510B-462F-88C3-CAA255AEDD12}" id="{204105E2-3F1F-4DE9-AED6-A29D21E74478}">
    <text>Actions respond only to these needs:  information, clarification, resources, decisions, approvals</text>
  </threadedComment>
  <threadedComment ref="G7" dT="2025-10-16T04:46:22.04" personId="{323CCFD2-510B-462F-88C3-CAA255AEDD12}" id="{706D2CE7-464D-4F96-B98E-CF8A6302E24E}">
    <text xml:space="preserve">Start with the yyyy-mm-dd of the update, then a brief description
</text>
  </threadedComment>
  <threadedComment ref="H7" dT="2025-10-19T21:06:54.66" personId="{D30AEC75-9C19-364E-B1D5-EABF1D36ABC2}" id="{33C31EBB-2B7A-2041-B9FA-11073581D5B3}">
    <text>See comments in dropdown list</text>
  </threadedComment>
  <threadedComment ref="I7" dT="2025-10-19T21:08:11.51" personId="{D30AEC75-9C19-364E-B1D5-EABF1D36ABC2}" id="{AD3E99F7-6BAA-694C-863A-AA8E2F7F94ED}">
    <text>See comments in dropdown list</text>
  </threadedComment>
  <threadedComment ref="J7" dT="2025-10-19T21:08:40.56" personId="{D30AEC75-9C19-364E-B1D5-EABF1D36ABC2}" id="{8D527373-602D-4A49-9017-B98B59FF706C}">
    <text>See comments in dropdown list</text>
  </threadedComment>
  <threadedComment ref="L7" dT="2025-10-16T04:46:44.21" personId="{323CCFD2-510B-462F-88C3-CAA255AEDD12}" id="{3035D125-600B-4CAA-A119-F2F10C8B577F}">
    <text>YYYY-MM-DD</text>
  </threadedComment>
  <threadedComment ref="M7" dT="2025-10-16T04:46:49.33" personId="{323CCFD2-510B-462F-88C3-CAA255AEDD12}" id="{66AB1959-AF64-47C3-8CC1-94B77758BB98}">
    <text>YYYY-MM-DD  
This baseline target completion date is used to quickly identify schedule slippage</text>
  </threadedComment>
  <threadedComment ref="N7" dT="2025-10-16T04:46:49.33" personId="{323CCFD2-510B-462F-88C3-CAA255AEDD12}" id="{745B74C6-BFEA-4A18-A5CF-6234BA6F718F}">
    <text>YYYY-MM-DD Based on project schedule / 6-week lookahead and following the PRIORITY in column G</text>
  </threadedComment>
  <threadedComment ref="O7" dT="2025-10-16T04:46:53.07" personId="{323CCFD2-510B-462F-88C3-CAA255AEDD12}" id="{139150A5-A70D-4E86-A449-AAB850E40B5F}">
    <text>YYYY-MM-DD</text>
  </threadedComment>
  <threadedComment ref="S7" dT="2025-10-19T21:50:32.00" personId="{D30AEC75-9C19-364E-B1D5-EABF1D36ABC2}" id="{106FB65C-AE88-4581-BC38-47F0D566A798}">
    <text>The other action item types are derived from the HOLD types in the other RAILs.  Action required means that the client has done something so that action is required of Lauren.  It could be information received (without requesting it), it could be documentation turnover, it could be a request to change scope or replace some resources, or anything really that the client is doing that requires action from Lauren.  The other statuses are for the client to do something and we are specific.  When requests are made by the client, it's simple that action is required and that request needs to be logged and tracked.  It can be distributed to other RAILs in a more categorized manner.</text>
  </threadedComment>
  <threadedComment ref="T7" dT="2025-10-19T20:47:01.29" personId="{D30AEC75-9C19-364E-B1D5-EABF1D36ABC2}" id="{E9DED29D-87B8-3346-BA13-067FA550D06A}">
    <text>Meaning: The coordination action is progressing, but circumstances suggest the requirement itself might change, potentially invalidating the work.
What this tells you:
Currently "In Progress" on the stated requirement
But there's active discussion/indication that the requirement might shift
Proceeding, but with awareness that the target might move
Need to monitor for potential pivot
Examples:
"Proceeding with design for 12 units per contract, but client has mentioned budget pressures and possible reduction to 10" (work continues but might need to change)
"Obtaining approval for Schedule A, but client is considering extending timeline which would affect what we're asking approval for" (the ask might change)
"Developing options for client decision, but stakeholder dynamics suggest new requirements might emerge before decision" (decision criteria might shift)
What this is NOT:
Blocked (that's "On Hold")
Vague uncertainty about everything (that's just normal project risk)
Someone's random speculation (there needs to be concrete indication of potential change)
Key distinction from In Progress: You're flagging that effort might be wasted if circumstances change. This creates awareness so leadership can decide whether to:
Continue and accept potential rework risk
Pause until situation clarifies
Seek clarification to lock down the requirement
Why this status exists: Prevents the situation where someone spends 2 weeks on something, then leadership says "oh yeah, we knew that might change, we should have told them to wait."</text>
  </threadedComment>
  <threadedComment ref="U7" dT="2025-10-19T20:31:41.45" personId="{D30AEC75-9C19-364E-B1D5-EABF1D36ABC2}" id="{45094D9D-05CA-8548-B7F2-0C226D4B0F4E}">
    <text>What it is: Formal sign-off required before work can proceed or be issued
Examples:
"Design is complete and ready for PE seal before issuing to client"
"Deliverable ready for project manager review before submitting for milestone"
"Approach complete and needs client approval before proceeding with detailed design"
"Change affects budget and needs sponsor approval before implementing"
Who approves: Someone with formal authority - PE, PM, client, sponsor, regulator
Why it's a project-level HOLD: The approval is a formal gate. Work downstream cannot start, or deliverable cannot be issued, until approval obtained. Affects project progress across boundaries.
Framework mechanism: Logged as Action Item, deliverable marked as "ready for approval," tracked through approval process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tint="-0.249977111117893"/>
    <pageSetUpPr fitToPage="1"/>
  </sheetPr>
  <dimension ref="A1:AA207"/>
  <sheetViews>
    <sheetView tabSelected="1" zoomScaleNormal="100" zoomScaleSheetLayoutView="100" zoomScalePageLayoutView="85" workbookViewId="0">
      <selection activeCell="H8" sqref="H8:N12"/>
    </sheetView>
  </sheetViews>
  <sheetFormatPr defaultColWidth="8.85546875" defaultRowHeight="15" x14ac:dyDescent="0.25"/>
  <cols>
    <col min="1" max="2" width="7" style="11" customWidth="1"/>
    <col min="3" max="3" width="32.42578125" customWidth="1"/>
    <col min="4" max="5" width="34.7109375" customWidth="1"/>
    <col min="6" max="6" width="44.42578125" customWidth="1"/>
    <col min="7" max="7" width="60.140625" style="8" customWidth="1"/>
    <col min="8" max="9" width="14.7109375" style="7" customWidth="1"/>
    <col min="10" max="10" width="10.140625" style="7" customWidth="1"/>
    <col min="11" max="11" width="10.140625" style="7" hidden="1" customWidth="1"/>
    <col min="12" max="12" width="18.7109375" style="8" customWidth="1"/>
    <col min="13" max="13" width="19.7109375" style="7" customWidth="1"/>
    <col min="14" max="14" width="19.140625" style="8" customWidth="1"/>
    <col min="15" max="15" width="20.42578125" customWidth="1"/>
    <col min="16" max="16" width="29.85546875" customWidth="1"/>
    <col min="17" max="18" width="21.42578125" customWidth="1"/>
    <col min="19" max="19" width="20.7109375" customWidth="1"/>
    <col min="20" max="20" width="16" customWidth="1"/>
    <col min="21" max="21" width="12.7109375" customWidth="1"/>
    <col min="22" max="22" width="8.42578125" style="7" customWidth="1"/>
    <col min="23" max="23" width="17.28515625" style="7" customWidth="1"/>
    <col min="24" max="24" width="28.140625" bestFit="1" customWidth="1"/>
    <col min="25" max="25" width="18.42578125" style="8" customWidth="1"/>
    <col min="27" max="27" width="31.42578125" style="8" customWidth="1"/>
    <col min="28" max="28" width="28.140625" bestFit="1" customWidth="1"/>
    <col min="29" max="29" width="16.7109375" bestFit="1" customWidth="1"/>
    <col min="30" max="30" width="45.42578125" customWidth="1"/>
    <col min="32" max="32" width="8.28515625" customWidth="1"/>
    <col min="33" max="33" width="9.7109375" bestFit="1" customWidth="1"/>
    <col min="34" max="34" width="16.42578125" bestFit="1" customWidth="1"/>
  </cols>
  <sheetData>
    <row r="1" spans="1:27" ht="39" customHeight="1" x14ac:dyDescent="0.25">
      <c r="A1"/>
      <c r="B1"/>
      <c r="D1" s="11"/>
      <c r="E1" s="11"/>
      <c r="F1" s="46" t="s">
        <v>50</v>
      </c>
      <c r="G1" s="46"/>
      <c r="H1" s="8"/>
      <c r="I1" s="8"/>
      <c r="J1" s="30"/>
      <c r="K1" s="30"/>
      <c r="L1" s="15"/>
      <c r="M1" s="30"/>
      <c r="P1" t="s">
        <v>38</v>
      </c>
      <c r="W1"/>
      <c r="Y1"/>
      <c r="AA1"/>
    </row>
    <row r="2" spans="1:27" ht="20.25" x14ac:dyDescent="0.25">
      <c r="A2"/>
      <c r="B2"/>
      <c r="D2" s="11"/>
      <c r="E2" s="11"/>
      <c r="F2" s="39" t="s">
        <v>26</v>
      </c>
      <c r="G2" s="42"/>
      <c r="H2" s="8"/>
      <c r="I2"/>
      <c r="P2" s="8"/>
      <c r="Q2" t="s">
        <v>8</v>
      </c>
      <c r="R2" t="s">
        <v>6</v>
      </c>
      <c r="S2" t="s">
        <v>44</v>
      </c>
      <c r="T2" s="8" t="s">
        <v>9</v>
      </c>
      <c r="U2" s="8" t="s">
        <v>32</v>
      </c>
      <c r="V2" s="8" t="s">
        <v>21</v>
      </c>
      <c r="W2"/>
      <c r="Y2"/>
      <c r="AA2"/>
    </row>
    <row r="3" spans="1:27" x14ac:dyDescent="0.25">
      <c r="A3"/>
      <c r="B3"/>
      <c r="D3" s="11"/>
      <c r="E3" s="11"/>
      <c r="F3" s="16" t="s">
        <v>3</v>
      </c>
      <c r="G3" s="17"/>
      <c r="H3" s="8"/>
      <c r="I3"/>
      <c r="J3" s="31"/>
      <c r="K3" s="31"/>
      <c r="L3" s="16"/>
      <c r="M3" s="31"/>
      <c r="P3" s="8"/>
      <c r="Q3" s="19" t="s">
        <v>12</v>
      </c>
      <c r="R3" s="19" t="s">
        <v>40</v>
      </c>
      <c r="S3" s="19" t="s">
        <v>33</v>
      </c>
      <c r="T3" s="20" t="s">
        <v>0</v>
      </c>
      <c r="U3" t="s">
        <v>33</v>
      </c>
      <c r="V3" s="19" t="s">
        <v>22</v>
      </c>
      <c r="W3"/>
      <c r="Y3"/>
      <c r="AA3"/>
    </row>
    <row r="4" spans="1:27" x14ac:dyDescent="0.25">
      <c r="A4"/>
      <c r="B4"/>
      <c r="D4" s="11"/>
      <c r="E4" s="11"/>
      <c r="F4" s="16" t="s">
        <v>4</v>
      </c>
      <c r="G4" s="17"/>
      <c r="H4" s="8"/>
      <c r="I4"/>
      <c r="J4" s="31"/>
      <c r="K4" s="31"/>
      <c r="L4" s="16"/>
      <c r="M4" s="31"/>
      <c r="P4" s="8"/>
      <c r="Q4" s="19" t="s">
        <v>16</v>
      </c>
      <c r="R4" s="19" t="s">
        <v>41</v>
      </c>
      <c r="S4" s="19" t="s">
        <v>34</v>
      </c>
      <c r="T4" s="50" t="s">
        <v>1</v>
      </c>
      <c r="U4" t="s">
        <v>34</v>
      </c>
      <c r="V4" s="19" t="s">
        <v>23</v>
      </c>
      <c r="W4"/>
      <c r="Y4"/>
      <c r="AA4"/>
    </row>
    <row r="5" spans="1:27" x14ac:dyDescent="0.25">
      <c r="A5"/>
      <c r="B5"/>
      <c r="D5" s="11"/>
      <c r="E5" s="11"/>
      <c r="F5" s="16" t="s">
        <v>5</v>
      </c>
      <c r="G5" s="17"/>
      <c r="H5" s="8"/>
      <c r="I5"/>
      <c r="J5" s="31"/>
      <c r="K5" s="31"/>
      <c r="L5" s="16"/>
      <c r="M5" s="31"/>
      <c r="P5" s="8"/>
      <c r="Q5" s="19" t="s">
        <v>14</v>
      </c>
      <c r="R5" s="19" t="s">
        <v>42</v>
      </c>
      <c r="S5" s="19" t="s">
        <v>35</v>
      </c>
      <c r="T5" s="21" t="s">
        <v>2</v>
      </c>
      <c r="U5" t="s">
        <v>35</v>
      </c>
      <c r="V5" s="19" t="s">
        <v>24</v>
      </c>
      <c r="W5"/>
      <c r="Y5"/>
      <c r="AA5"/>
    </row>
    <row r="6" spans="1:27" x14ac:dyDescent="0.25">
      <c r="A6"/>
      <c r="B6"/>
      <c r="C6" s="8"/>
      <c r="F6" s="8"/>
      <c r="G6" s="16"/>
      <c r="H6" s="8"/>
      <c r="I6"/>
      <c r="J6" s="31"/>
      <c r="K6" s="31"/>
      <c r="L6" s="16"/>
      <c r="M6" s="31"/>
      <c r="N6" s="16"/>
      <c r="O6" s="8"/>
      <c r="P6" s="8"/>
      <c r="Q6" s="19" t="s">
        <v>15</v>
      </c>
      <c r="R6" s="19"/>
      <c r="S6" s="19" t="s">
        <v>37</v>
      </c>
      <c r="T6" s="29" t="s">
        <v>7</v>
      </c>
      <c r="U6" t="s">
        <v>36</v>
      </c>
      <c r="V6" s="19" t="s">
        <v>39</v>
      </c>
      <c r="W6"/>
      <c r="Y6"/>
      <c r="AA6"/>
    </row>
    <row r="7" spans="1:27" ht="36" x14ac:dyDescent="0.25">
      <c r="A7" s="43"/>
      <c r="B7" s="43" t="s">
        <v>49</v>
      </c>
      <c r="C7" s="44" t="s">
        <v>52</v>
      </c>
      <c r="D7" s="43" t="s">
        <v>51</v>
      </c>
      <c r="E7" s="44" t="s">
        <v>45</v>
      </c>
      <c r="F7" s="44" t="s">
        <v>46</v>
      </c>
      <c r="G7" s="44" t="s">
        <v>10</v>
      </c>
      <c r="H7" s="44" t="s">
        <v>9</v>
      </c>
      <c r="I7" s="44" t="s">
        <v>32</v>
      </c>
      <c r="J7" s="44" t="s">
        <v>21</v>
      </c>
      <c r="K7" s="44" t="s">
        <v>43</v>
      </c>
      <c r="L7" s="44" t="s">
        <v>27</v>
      </c>
      <c r="M7" s="44" t="s">
        <v>28</v>
      </c>
      <c r="N7" s="44" t="s">
        <v>29</v>
      </c>
      <c r="O7" s="44" t="s">
        <v>30</v>
      </c>
      <c r="P7" s="8"/>
      <c r="Q7" s="19" t="s">
        <v>20</v>
      </c>
      <c r="R7" s="19"/>
      <c r="S7" s="19" t="s">
        <v>47</v>
      </c>
      <c r="T7" s="45" t="s">
        <v>31</v>
      </c>
      <c r="U7" t="s">
        <v>37</v>
      </c>
      <c r="W7"/>
      <c r="Y7"/>
      <c r="AA7"/>
    </row>
    <row r="8" spans="1:27" s="18" customFormat="1" ht="15" customHeight="1" x14ac:dyDescent="0.35">
      <c r="A8" s="10">
        <v>1</v>
      </c>
      <c r="B8" s="10" t="str">
        <f t="shared" ref="B8:B39" si="0">_xlfn.CONCAT("PKG-",A8)</f>
        <v>PKG-1</v>
      </c>
      <c r="C8" s="3"/>
      <c r="D8" s="10"/>
      <c r="E8" s="10"/>
      <c r="F8" s="2"/>
      <c r="G8" s="25"/>
      <c r="H8" s="3"/>
      <c r="I8" s="3"/>
      <c r="J8" s="4"/>
      <c r="K8" s="4"/>
      <c r="L8" s="34"/>
      <c r="M8" s="4"/>
      <c r="N8" s="34"/>
      <c r="O8" s="34"/>
      <c r="P8" s="27"/>
      <c r="Q8" s="19" t="s">
        <v>11</v>
      </c>
      <c r="R8" s="19"/>
      <c r="S8" s="51" t="s">
        <v>48</v>
      </c>
      <c r="T8"/>
      <c r="U8" s="47"/>
      <c r="V8" s="7"/>
    </row>
    <row r="9" spans="1:27" s="1" customFormat="1" x14ac:dyDescent="0.25">
      <c r="A9" s="10">
        <v>2</v>
      </c>
      <c r="B9" s="10" t="str">
        <f t="shared" si="0"/>
        <v>PKG-2</v>
      </c>
      <c r="C9" s="3"/>
      <c r="D9" s="10"/>
      <c r="E9" s="10"/>
      <c r="F9" s="2"/>
      <c r="G9" s="25"/>
      <c r="H9" s="3"/>
      <c r="I9" s="3"/>
      <c r="J9" s="4"/>
      <c r="K9" s="4"/>
      <c r="L9" s="34"/>
      <c r="M9" s="4"/>
      <c r="N9" s="34"/>
      <c r="O9" s="34"/>
      <c r="Q9" s="19" t="s">
        <v>19</v>
      </c>
      <c r="R9" s="19"/>
      <c r="T9" s="22"/>
      <c r="U9"/>
      <c r="V9"/>
    </row>
    <row r="10" spans="1:27" s="1" customFormat="1" x14ac:dyDescent="0.25">
      <c r="A10" s="10">
        <v>3</v>
      </c>
      <c r="B10" s="10" t="str">
        <f t="shared" si="0"/>
        <v>PKG-3</v>
      </c>
      <c r="C10" s="3"/>
      <c r="D10" s="10"/>
      <c r="E10" s="10"/>
      <c r="F10" s="24"/>
      <c r="G10" s="25"/>
      <c r="H10" s="3"/>
      <c r="I10" s="3"/>
      <c r="J10" s="4"/>
      <c r="K10" s="4"/>
      <c r="L10" s="34"/>
      <c r="M10" s="4"/>
      <c r="N10" s="34"/>
      <c r="O10" s="34"/>
      <c r="P10" s="27"/>
      <c r="Q10" s="19" t="s">
        <v>17</v>
      </c>
      <c r="R10" s="19"/>
      <c r="T10" s="23"/>
      <c r="U10" s="48"/>
      <c r="V10" s="18"/>
    </row>
    <row r="11" spans="1:27" s="1" customFormat="1" x14ac:dyDescent="0.25">
      <c r="A11" s="10">
        <v>4</v>
      </c>
      <c r="B11" s="10" t="str">
        <f t="shared" si="0"/>
        <v>PKG-4</v>
      </c>
      <c r="C11" s="3"/>
      <c r="D11" s="10"/>
      <c r="E11" s="10"/>
      <c r="F11" s="2"/>
      <c r="G11" s="2"/>
      <c r="H11" s="3"/>
      <c r="I11" s="3"/>
      <c r="J11" s="3"/>
      <c r="K11" s="3"/>
      <c r="L11" s="35"/>
      <c r="M11" s="3"/>
      <c r="N11" s="35"/>
      <c r="O11" s="35"/>
      <c r="P11" s="27"/>
      <c r="Q11" s="19" t="s">
        <v>18</v>
      </c>
      <c r="R11" s="19"/>
      <c r="U11"/>
    </row>
    <row r="12" spans="1:27" s="1" customFormat="1" x14ac:dyDescent="0.25">
      <c r="A12" s="10">
        <v>5</v>
      </c>
      <c r="B12" s="10" t="str">
        <f t="shared" si="0"/>
        <v>PKG-5</v>
      </c>
      <c r="C12" s="3"/>
      <c r="D12" s="10"/>
      <c r="E12" s="10"/>
      <c r="F12" s="2"/>
      <c r="G12" s="5"/>
      <c r="H12" s="3"/>
      <c r="I12" s="3"/>
      <c r="J12" s="6"/>
      <c r="K12" s="6"/>
      <c r="L12" s="36"/>
      <c r="M12" s="6"/>
      <c r="N12" s="36"/>
      <c r="O12" s="36"/>
      <c r="P12" s="27"/>
      <c r="Q12" s="19" t="s">
        <v>13</v>
      </c>
      <c r="R12" s="19"/>
      <c r="S12" s="19"/>
      <c r="U12" s="49"/>
    </row>
    <row r="13" spans="1:27" s="1" customFormat="1" x14ac:dyDescent="0.25">
      <c r="A13" s="10">
        <v>6</v>
      </c>
      <c r="B13" s="10" t="str">
        <f t="shared" si="0"/>
        <v>PKG-6</v>
      </c>
      <c r="C13" s="10"/>
      <c r="D13" s="26"/>
      <c r="E13" s="26"/>
      <c r="F13" s="40"/>
      <c r="G13" s="2"/>
      <c r="H13" s="3"/>
      <c r="I13" s="3"/>
      <c r="J13" s="3"/>
      <c r="K13" s="3"/>
      <c r="L13" s="35"/>
      <c r="M13" s="3"/>
      <c r="N13" s="35"/>
      <c r="O13" s="35"/>
      <c r="P13" s="27"/>
      <c r="U13" s="49"/>
    </row>
    <row r="14" spans="1:27" s="1" customFormat="1" x14ac:dyDescent="0.25">
      <c r="A14" s="10">
        <v>7</v>
      </c>
      <c r="B14" s="10" t="str">
        <f t="shared" si="0"/>
        <v>PKG-7</v>
      </c>
      <c r="C14" s="3"/>
      <c r="D14" s="10"/>
      <c r="E14" s="10"/>
      <c r="F14" s="2"/>
      <c r="G14" s="5"/>
      <c r="H14" s="3"/>
      <c r="I14" s="3"/>
      <c r="J14" s="6"/>
      <c r="K14" s="6"/>
      <c r="L14" s="36"/>
      <c r="M14" s="6"/>
      <c r="N14" s="36"/>
      <c r="O14" s="36"/>
      <c r="P14" s="27"/>
      <c r="U14" s="49"/>
    </row>
    <row r="15" spans="1:27" s="1" customFormat="1" x14ac:dyDescent="0.25">
      <c r="A15" s="10">
        <v>8</v>
      </c>
      <c r="B15" s="10" t="str">
        <f t="shared" si="0"/>
        <v>PKG-8</v>
      </c>
      <c r="C15" s="3"/>
      <c r="D15" s="10"/>
      <c r="E15" s="10"/>
      <c r="F15" s="40"/>
      <c r="G15" s="2"/>
      <c r="H15" s="41"/>
      <c r="I15" s="41"/>
      <c r="J15" s="3"/>
      <c r="K15" s="3"/>
      <c r="L15" s="35"/>
      <c r="M15" s="3"/>
      <c r="N15" s="35"/>
      <c r="O15" s="35"/>
      <c r="P15" s="27"/>
      <c r="U15" s="49"/>
    </row>
    <row r="16" spans="1:27" s="1" customFormat="1" x14ac:dyDescent="0.25">
      <c r="A16" s="10">
        <v>9</v>
      </c>
      <c r="B16" s="10" t="str">
        <f t="shared" si="0"/>
        <v>PKG-9</v>
      </c>
      <c r="C16" s="3"/>
      <c r="D16" s="10"/>
      <c r="E16" s="10"/>
      <c r="F16" s="40"/>
      <c r="G16" s="2"/>
      <c r="H16" s="41"/>
      <c r="I16" s="41"/>
      <c r="J16" s="3"/>
      <c r="K16" s="3"/>
      <c r="L16" s="35"/>
      <c r="M16" s="3"/>
      <c r="N16" s="35"/>
      <c r="O16" s="35"/>
      <c r="P16" s="27"/>
      <c r="U16" s="48"/>
    </row>
    <row r="17" spans="1:23" s="1" customFormat="1" x14ac:dyDescent="0.25">
      <c r="A17" s="10">
        <v>10</v>
      </c>
      <c r="B17" s="10" t="str">
        <f t="shared" si="0"/>
        <v>PKG-10</v>
      </c>
      <c r="C17" s="3"/>
      <c r="D17" s="26"/>
      <c r="E17" s="26"/>
      <c r="F17" s="40"/>
      <c r="G17" s="2"/>
      <c r="H17" s="41"/>
      <c r="I17" s="41"/>
      <c r="J17" s="3"/>
      <c r="K17" s="3"/>
      <c r="L17" s="35"/>
      <c r="M17" s="3"/>
      <c r="N17" s="35"/>
      <c r="O17" s="35"/>
      <c r="P17" s="27"/>
      <c r="U17"/>
    </row>
    <row r="18" spans="1:23" s="1" customFormat="1" x14ac:dyDescent="0.25">
      <c r="A18" s="10">
        <v>11</v>
      </c>
      <c r="B18" s="10" t="str">
        <f t="shared" si="0"/>
        <v>PKG-11</v>
      </c>
      <c r="C18" s="3"/>
      <c r="D18" s="26"/>
      <c r="E18" s="26"/>
      <c r="F18" s="40"/>
      <c r="G18" s="2"/>
      <c r="H18" s="41"/>
      <c r="I18" s="41"/>
      <c r="J18" s="3"/>
      <c r="K18" s="3"/>
      <c r="L18" s="35"/>
      <c r="M18" s="3"/>
      <c r="N18" s="35"/>
      <c r="O18" s="35"/>
      <c r="P18" s="27"/>
      <c r="U18" s="48"/>
      <c r="W18" s="1" t="s">
        <v>25</v>
      </c>
    </row>
    <row r="19" spans="1:23" s="1" customFormat="1" x14ac:dyDescent="0.25">
      <c r="A19" s="10">
        <v>12</v>
      </c>
      <c r="B19" s="10" t="str">
        <f t="shared" si="0"/>
        <v>PKG-12</v>
      </c>
      <c r="C19" s="3"/>
      <c r="D19" s="26"/>
      <c r="E19" s="26"/>
      <c r="F19" s="40"/>
      <c r="G19" s="2"/>
      <c r="H19" s="41"/>
      <c r="I19" s="41"/>
      <c r="J19" s="3"/>
      <c r="K19" s="3"/>
      <c r="L19" s="35"/>
      <c r="M19" s="3"/>
      <c r="N19" s="35"/>
      <c r="O19" s="35"/>
      <c r="P19" s="27"/>
      <c r="U19"/>
      <c r="V19" s="1" t="s">
        <v>25</v>
      </c>
    </row>
    <row r="20" spans="1:23" s="1" customFormat="1" x14ac:dyDescent="0.25">
      <c r="A20" s="10">
        <v>13</v>
      </c>
      <c r="B20" s="10" t="str">
        <f t="shared" si="0"/>
        <v>PKG-13</v>
      </c>
      <c r="C20" s="3"/>
      <c r="D20" s="26"/>
      <c r="E20" s="26"/>
      <c r="F20" s="40"/>
      <c r="G20" s="5"/>
      <c r="H20" s="41"/>
      <c r="I20" s="41"/>
      <c r="J20" s="6"/>
      <c r="K20" s="6"/>
      <c r="L20" s="35"/>
      <c r="M20" s="6"/>
      <c r="N20" s="36"/>
      <c r="O20" s="35"/>
      <c r="P20" s="27"/>
      <c r="U20" s="49"/>
    </row>
    <row r="21" spans="1:23" s="1" customFormat="1" x14ac:dyDescent="0.25">
      <c r="A21" s="10">
        <v>14</v>
      </c>
      <c r="B21" s="10" t="str">
        <f t="shared" si="0"/>
        <v>PKG-14</v>
      </c>
      <c r="C21" s="10"/>
      <c r="D21" s="26"/>
      <c r="E21" s="26"/>
      <c r="F21" s="40"/>
      <c r="G21" s="2"/>
      <c r="H21" s="41"/>
      <c r="I21" s="41"/>
      <c r="J21" s="3"/>
      <c r="K21" s="3"/>
      <c r="L21" s="35"/>
      <c r="M21" s="3"/>
      <c r="N21" s="35"/>
      <c r="O21" s="35"/>
      <c r="P21" s="27"/>
      <c r="U21" s="49"/>
    </row>
    <row r="22" spans="1:23" s="1" customFormat="1" x14ac:dyDescent="0.25">
      <c r="A22" s="10">
        <v>15</v>
      </c>
      <c r="B22" s="10" t="str">
        <f t="shared" si="0"/>
        <v>PKG-15</v>
      </c>
      <c r="C22" s="10"/>
      <c r="D22" s="10"/>
      <c r="E22" s="10"/>
      <c r="F22" s="5"/>
      <c r="G22" s="5"/>
      <c r="H22" s="3"/>
      <c r="I22" s="3"/>
      <c r="J22" s="6"/>
      <c r="K22" s="6"/>
      <c r="L22" s="36"/>
      <c r="M22" s="6"/>
      <c r="N22" s="36"/>
      <c r="O22" s="36"/>
      <c r="P22" s="27"/>
      <c r="Q22" s="27"/>
      <c r="R22" s="27"/>
      <c r="S22" s="27"/>
      <c r="U22" s="49"/>
    </row>
    <row r="23" spans="1:23" s="1" customFormat="1" x14ac:dyDescent="0.25">
      <c r="A23" s="10">
        <v>16</v>
      </c>
      <c r="B23" s="10" t="str">
        <f t="shared" si="0"/>
        <v>PKG-16</v>
      </c>
      <c r="C23" s="10"/>
      <c r="D23" s="10"/>
      <c r="E23" s="10"/>
      <c r="F23" s="5"/>
      <c r="G23" s="2"/>
      <c r="H23" s="3"/>
      <c r="I23" s="3"/>
      <c r="J23" s="3"/>
      <c r="K23" s="3"/>
      <c r="L23" s="35"/>
      <c r="M23" s="3"/>
      <c r="N23" s="35"/>
      <c r="O23" s="35"/>
      <c r="P23" s="27"/>
      <c r="Q23" s="27"/>
      <c r="R23" s="27"/>
      <c r="S23" s="27"/>
      <c r="U23" s="49"/>
    </row>
    <row r="24" spans="1:23" s="1" customFormat="1" x14ac:dyDescent="0.25">
      <c r="A24" s="10">
        <v>17</v>
      </c>
      <c r="B24" s="10" t="str">
        <f t="shared" si="0"/>
        <v>PKG-17</v>
      </c>
      <c r="C24" s="10"/>
      <c r="D24" s="10"/>
      <c r="E24" s="10"/>
      <c r="F24" s="2"/>
      <c r="G24" s="2"/>
      <c r="H24" s="3"/>
      <c r="I24" s="3"/>
      <c r="J24" s="3"/>
      <c r="K24" s="3"/>
      <c r="L24" s="35"/>
      <c r="M24" s="3"/>
      <c r="N24" s="35"/>
      <c r="O24" s="35"/>
      <c r="P24" s="27"/>
      <c r="Q24" s="27"/>
      <c r="R24" s="27"/>
      <c r="S24" s="27"/>
      <c r="U24" s="48"/>
    </row>
    <row r="25" spans="1:23" s="1" customFormat="1" ht="12" x14ac:dyDescent="0.2">
      <c r="A25" s="10">
        <v>18</v>
      </c>
      <c r="B25" s="10" t="str">
        <f t="shared" si="0"/>
        <v>PKG-18</v>
      </c>
      <c r="C25" s="3"/>
      <c r="D25" s="10"/>
      <c r="E25" s="10"/>
      <c r="F25" s="5"/>
      <c r="G25" s="2"/>
      <c r="H25" s="3"/>
      <c r="I25" s="3"/>
      <c r="J25" s="3"/>
      <c r="K25" s="3"/>
      <c r="L25" s="35"/>
      <c r="M25" s="3"/>
      <c r="N25" s="35"/>
      <c r="O25" s="35"/>
      <c r="P25" s="27"/>
      <c r="Q25" s="27"/>
      <c r="R25" s="27"/>
    </row>
    <row r="26" spans="1:23" s="1" customFormat="1" ht="12" x14ac:dyDescent="0.2">
      <c r="A26" s="10">
        <v>19</v>
      </c>
      <c r="B26" s="10" t="str">
        <f t="shared" si="0"/>
        <v>PKG-19</v>
      </c>
      <c r="C26" s="3"/>
      <c r="D26" s="10"/>
      <c r="E26" s="10"/>
      <c r="F26" s="2"/>
      <c r="G26" s="2"/>
      <c r="H26" s="3"/>
      <c r="I26" s="3"/>
      <c r="J26" s="3"/>
      <c r="K26" s="3"/>
      <c r="L26" s="35"/>
      <c r="M26" s="3"/>
      <c r="N26" s="35"/>
      <c r="O26" s="35"/>
      <c r="P26" s="27"/>
      <c r="Q26" s="27"/>
      <c r="R26" s="27"/>
    </row>
    <row r="27" spans="1:23" s="1" customFormat="1" ht="12" x14ac:dyDescent="0.2">
      <c r="A27" s="10">
        <v>20</v>
      </c>
      <c r="B27" s="10" t="str">
        <f t="shared" si="0"/>
        <v>PKG-20</v>
      </c>
      <c r="C27" s="3"/>
      <c r="D27" s="10"/>
      <c r="E27" s="10"/>
      <c r="F27" s="5"/>
      <c r="G27" s="5"/>
      <c r="H27" s="3"/>
      <c r="I27" s="3"/>
      <c r="J27" s="6"/>
      <c r="K27" s="6"/>
      <c r="L27" s="36"/>
      <c r="M27" s="6"/>
      <c r="N27" s="36"/>
      <c r="O27" s="36"/>
      <c r="P27" s="27"/>
      <c r="Q27" s="27"/>
      <c r="R27" s="27"/>
    </row>
    <row r="28" spans="1:23" s="1" customFormat="1" ht="12" x14ac:dyDescent="0.2">
      <c r="A28" s="10">
        <v>21</v>
      </c>
      <c r="B28" s="10" t="str">
        <f t="shared" si="0"/>
        <v>PKG-21</v>
      </c>
      <c r="C28" s="3"/>
      <c r="D28" s="10"/>
      <c r="E28" s="10"/>
      <c r="F28" s="5"/>
      <c r="G28" s="5"/>
      <c r="H28" s="3"/>
      <c r="I28" s="3"/>
      <c r="J28" s="6"/>
      <c r="K28" s="6"/>
      <c r="L28" s="36"/>
      <c r="M28" s="6"/>
      <c r="N28" s="36"/>
      <c r="O28" s="36"/>
      <c r="P28" s="27"/>
      <c r="Q28" s="27"/>
      <c r="R28" s="27"/>
    </row>
    <row r="29" spans="1:23" s="1" customFormat="1" ht="12" x14ac:dyDescent="0.2">
      <c r="A29" s="10">
        <v>22</v>
      </c>
      <c r="B29" s="10" t="str">
        <f t="shared" si="0"/>
        <v>PKG-22</v>
      </c>
      <c r="C29" s="4"/>
      <c r="D29" s="10"/>
      <c r="E29" s="10"/>
      <c r="F29" s="5"/>
      <c r="G29" s="5"/>
      <c r="H29" s="3"/>
      <c r="I29" s="3"/>
      <c r="J29" s="6"/>
      <c r="K29" s="6"/>
      <c r="L29" s="36"/>
      <c r="M29" s="6"/>
      <c r="N29" s="36"/>
      <c r="O29" s="36"/>
      <c r="P29" s="27"/>
      <c r="Q29" s="27"/>
      <c r="R29" s="27"/>
    </row>
    <row r="30" spans="1:23" s="1" customFormat="1" ht="12" x14ac:dyDescent="0.2">
      <c r="A30" s="10">
        <v>23</v>
      </c>
      <c r="B30" s="10" t="str">
        <f t="shared" si="0"/>
        <v>PKG-23</v>
      </c>
      <c r="C30" s="3"/>
      <c r="D30" s="10"/>
      <c r="E30" s="10"/>
      <c r="F30" s="5"/>
      <c r="G30" s="9"/>
      <c r="H30" s="3"/>
      <c r="I30" s="3"/>
      <c r="J30" s="32"/>
      <c r="K30" s="32"/>
      <c r="L30" s="37"/>
      <c r="M30" s="32"/>
      <c r="N30" s="37"/>
      <c r="O30" s="37"/>
      <c r="P30" s="27"/>
      <c r="Q30" s="27"/>
      <c r="R30" s="27"/>
    </row>
    <row r="31" spans="1:23" s="1" customFormat="1" ht="12" x14ac:dyDescent="0.2">
      <c r="A31" s="10">
        <v>24</v>
      </c>
      <c r="B31" s="10" t="str">
        <f t="shared" si="0"/>
        <v>PKG-24</v>
      </c>
      <c r="C31" s="3"/>
      <c r="D31" s="10"/>
      <c r="E31" s="10"/>
      <c r="F31" s="5"/>
      <c r="G31" s="5"/>
      <c r="H31" s="3"/>
      <c r="I31" s="3"/>
      <c r="J31" s="6"/>
      <c r="K31" s="6"/>
      <c r="L31" s="36"/>
      <c r="M31" s="6"/>
      <c r="N31" s="36"/>
      <c r="O31" s="36"/>
      <c r="P31" s="27"/>
      <c r="Q31" s="27"/>
      <c r="R31" s="27"/>
    </row>
    <row r="32" spans="1:23" s="1" customFormat="1" ht="12" x14ac:dyDescent="0.2">
      <c r="A32" s="10">
        <v>25</v>
      </c>
      <c r="B32" s="10" t="str">
        <f t="shared" si="0"/>
        <v>PKG-25</v>
      </c>
      <c r="C32" s="3"/>
      <c r="D32" s="10"/>
      <c r="E32" s="10"/>
      <c r="F32" s="5"/>
      <c r="G32" s="5"/>
      <c r="H32" s="3"/>
      <c r="I32" s="3"/>
      <c r="J32" s="6"/>
      <c r="K32" s="6"/>
      <c r="L32" s="36"/>
      <c r="M32" s="6"/>
      <c r="N32" s="36"/>
      <c r="O32" s="36"/>
      <c r="P32" s="27"/>
      <c r="Q32" s="27"/>
      <c r="R32" s="27"/>
    </row>
    <row r="33" spans="1:18" s="1" customFormat="1" ht="12" x14ac:dyDescent="0.2">
      <c r="A33" s="10">
        <v>26</v>
      </c>
      <c r="B33" s="10" t="str">
        <f t="shared" si="0"/>
        <v>PKG-26</v>
      </c>
      <c r="C33" s="4"/>
      <c r="D33" s="10"/>
      <c r="E33" s="10"/>
      <c r="F33" s="5"/>
      <c r="G33" s="5"/>
      <c r="H33" s="3"/>
      <c r="I33" s="3"/>
      <c r="J33" s="6"/>
      <c r="K33" s="6"/>
      <c r="L33" s="36"/>
      <c r="M33" s="6"/>
      <c r="N33" s="36"/>
      <c r="O33" s="36"/>
      <c r="P33" s="27"/>
      <c r="Q33" s="27"/>
      <c r="R33" s="27"/>
    </row>
    <row r="34" spans="1:18" s="1" customFormat="1" ht="12" x14ac:dyDescent="0.2">
      <c r="A34" s="10">
        <v>27</v>
      </c>
      <c r="B34" s="10" t="str">
        <f t="shared" si="0"/>
        <v>PKG-27</v>
      </c>
      <c r="C34" s="4"/>
      <c r="D34" s="10"/>
      <c r="E34" s="10"/>
      <c r="F34" s="5"/>
      <c r="G34" s="5"/>
      <c r="H34" s="3"/>
      <c r="I34" s="3"/>
      <c r="J34" s="6"/>
      <c r="K34" s="6"/>
      <c r="L34" s="36"/>
      <c r="M34" s="6"/>
      <c r="N34" s="36"/>
      <c r="O34" s="36"/>
      <c r="P34" s="27"/>
      <c r="Q34" s="27"/>
      <c r="R34" s="27"/>
    </row>
    <row r="35" spans="1:18" s="1" customFormat="1" ht="12" x14ac:dyDescent="0.2">
      <c r="A35" s="10">
        <v>28</v>
      </c>
      <c r="B35" s="10" t="str">
        <f t="shared" si="0"/>
        <v>PKG-28</v>
      </c>
      <c r="C35" s="4"/>
      <c r="D35" s="10"/>
      <c r="E35" s="10"/>
      <c r="F35" s="5"/>
      <c r="G35" s="2"/>
      <c r="H35" s="3"/>
      <c r="I35" s="3"/>
      <c r="J35" s="3"/>
      <c r="K35" s="3"/>
      <c r="L35" s="35"/>
      <c r="M35" s="3"/>
      <c r="N35" s="35"/>
      <c r="O35" s="35"/>
      <c r="P35" s="28"/>
      <c r="Q35" s="27"/>
      <c r="R35" s="27"/>
    </row>
    <row r="36" spans="1:18" s="1" customFormat="1" ht="12" x14ac:dyDescent="0.2">
      <c r="A36" s="10">
        <v>29</v>
      </c>
      <c r="B36" s="10" t="str">
        <f t="shared" si="0"/>
        <v>PKG-29</v>
      </c>
      <c r="C36" s="4"/>
      <c r="D36" s="10"/>
      <c r="E36" s="10"/>
      <c r="F36" s="5"/>
      <c r="G36" s="2"/>
      <c r="H36" s="3"/>
      <c r="I36" s="3"/>
      <c r="J36" s="3"/>
      <c r="K36" s="3"/>
      <c r="L36" s="35"/>
      <c r="M36" s="3"/>
      <c r="N36" s="35"/>
      <c r="O36" s="35"/>
      <c r="P36" s="27"/>
      <c r="Q36" s="28"/>
      <c r="R36" s="28"/>
    </row>
    <row r="37" spans="1:18" s="1" customFormat="1" ht="12" x14ac:dyDescent="0.2">
      <c r="A37" s="10">
        <v>30</v>
      </c>
      <c r="B37" s="10" t="str">
        <f t="shared" si="0"/>
        <v>PKG-30</v>
      </c>
      <c r="C37" s="4"/>
      <c r="D37" s="10"/>
      <c r="E37" s="10"/>
      <c r="F37" s="5"/>
      <c r="G37" s="5"/>
      <c r="H37" s="3"/>
      <c r="I37" s="3"/>
      <c r="J37" s="6"/>
      <c r="K37" s="6"/>
      <c r="L37" s="36"/>
      <c r="M37" s="6"/>
      <c r="N37" s="36"/>
      <c r="O37" s="36"/>
      <c r="P37" s="27"/>
      <c r="Q37" s="27"/>
      <c r="R37" s="27"/>
    </row>
    <row r="38" spans="1:18" s="1" customFormat="1" ht="12" x14ac:dyDescent="0.2">
      <c r="A38" s="10">
        <v>31</v>
      </c>
      <c r="B38" s="10" t="str">
        <f t="shared" si="0"/>
        <v>PKG-31</v>
      </c>
      <c r="C38" s="4"/>
      <c r="D38" s="10"/>
      <c r="E38" s="10"/>
      <c r="F38" s="5"/>
      <c r="G38" s="5"/>
      <c r="H38" s="3"/>
      <c r="I38" s="3"/>
      <c r="J38" s="6"/>
      <c r="K38" s="6"/>
      <c r="L38" s="36"/>
      <c r="M38" s="6"/>
      <c r="N38" s="36"/>
      <c r="O38" s="36"/>
      <c r="P38" s="27"/>
      <c r="Q38" s="27"/>
      <c r="R38" s="27"/>
    </row>
    <row r="39" spans="1:18" s="1" customFormat="1" ht="12" x14ac:dyDescent="0.2">
      <c r="A39" s="10">
        <v>32</v>
      </c>
      <c r="B39" s="10" t="str">
        <f t="shared" si="0"/>
        <v>PKG-32</v>
      </c>
      <c r="C39" s="4"/>
      <c r="D39" s="10"/>
      <c r="E39" s="10"/>
      <c r="F39" s="5"/>
      <c r="G39" s="2"/>
      <c r="H39" s="3"/>
      <c r="I39" s="3"/>
      <c r="J39" s="3"/>
      <c r="K39" s="3"/>
      <c r="L39" s="35"/>
      <c r="M39" s="3"/>
      <c r="N39" s="35"/>
      <c r="O39" s="35"/>
      <c r="P39" s="27"/>
      <c r="Q39" s="27"/>
      <c r="R39" s="27"/>
    </row>
    <row r="40" spans="1:18" s="1" customFormat="1" ht="12" x14ac:dyDescent="0.2">
      <c r="A40" s="10">
        <v>33</v>
      </c>
      <c r="B40" s="10" t="str">
        <f t="shared" ref="B40:B71" si="1">_xlfn.CONCAT("PKG-",A40)</f>
        <v>PKG-33</v>
      </c>
      <c r="C40" s="4"/>
      <c r="D40" s="10"/>
      <c r="E40" s="10"/>
      <c r="F40" s="5"/>
      <c r="G40" s="2"/>
      <c r="H40" s="3"/>
      <c r="I40" s="3"/>
      <c r="J40" s="3"/>
      <c r="K40" s="3"/>
      <c r="L40" s="35"/>
      <c r="M40" s="3"/>
      <c r="N40" s="35"/>
      <c r="O40" s="35"/>
      <c r="P40" s="27"/>
      <c r="Q40" s="27"/>
      <c r="R40" s="27"/>
    </row>
    <row r="41" spans="1:18" s="1" customFormat="1" ht="12" x14ac:dyDescent="0.2">
      <c r="A41" s="10">
        <v>34</v>
      </c>
      <c r="B41" s="10" t="str">
        <f t="shared" si="1"/>
        <v>PKG-34</v>
      </c>
      <c r="C41" s="4"/>
      <c r="D41" s="10"/>
      <c r="E41" s="10"/>
      <c r="F41" s="5"/>
      <c r="G41" s="2"/>
      <c r="H41" s="3"/>
      <c r="I41" s="3"/>
      <c r="J41" s="3"/>
      <c r="K41" s="3"/>
      <c r="L41" s="35"/>
      <c r="M41" s="3"/>
      <c r="N41" s="35"/>
      <c r="O41" s="35"/>
      <c r="P41" s="27"/>
      <c r="Q41" s="27"/>
      <c r="R41" s="27"/>
    </row>
    <row r="42" spans="1:18" s="1" customFormat="1" ht="12" x14ac:dyDescent="0.2">
      <c r="A42" s="10">
        <v>35</v>
      </c>
      <c r="B42" s="10" t="str">
        <f t="shared" si="1"/>
        <v>PKG-35</v>
      </c>
      <c r="C42" s="3"/>
      <c r="D42" s="10"/>
      <c r="E42" s="10"/>
      <c r="F42" s="5"/>
      <c r="G42" s="9"/>
      <c r="H42" s="3"/>
      <c r="I42" s="3"/>
      <c r="J42" s="32"/>
      <c r="K42" s="32"/>
      <c r="L42" s="37"/>
      <c r="M42" s="32"/>
      <c r="N42" s="37"/>
      <c r="O42" s="37"/>
      <c r="P42" s="27"/>
      <c r="Q42" s="27"/>
      <c r="R42" s="27"/>
    </row>
    <row r="43" spans="1:18" s="1" customFormat="1" ht="12" x14ac:dyDescent="0.2">
      <c r="A43" s="10">
        <v>36</v>
      </c>
      <c r="B43" s="10" t="str">
        <f t="shared" si="1"/>
        <v>PKG-36</v>
      </c>
      <c r="C43" s="4"/>
      <c r="D43" s="10"/>
      <c r="E43" s="10"/>
      <c r="F43" s="5"/>
      <c r="G43" s="5"/>
      <c r="H43" s="3"/>
      <c r="I43" s="3"/>
      <c r="J43" s="6"/>
      <c r="K43" s="6"/>
      <c r="L43" s="36"/>
      <c r="M43" s="6"/>
      <c r="N43" s="36"/>
      <c r="O43" s="36"/>
      <c r="P43" s="27"/>
      <c r="Q43" s="27"/>
      <c r="R43" s="27"/>
    </row>
    <row r="44" spans="1:18" s="1" customFormat="1" ht="12" x14ac:dyDescent="0.2">
      <c r="A44" s="10">
        <v>37</v>
      </c>
      <c r="B44" s="10" t="str">
        <f t="shared" si="1"/>
        <v>PKG-37</v>
      </c>
      <c r="C44" s="4"/>
      <c r="D44" s="10"/>
      <c r="E44" s="10"/>
      <c r="F44" s="5"/>
      <c r="G44" s="2"/>
      <c r="H44" s="3"/>
      <c r="I44" s="3"/>
      <c r="J44" s="3"/>
      <c r="K44" s="3"/>
      <c r="L44" s="35"/>
      <c r="M44" s="3"/>
      <c r="N44" s="35"/>
      <c r="O44" s="35"/>
      <c r="P44" s="27"/>
      <c r="Q44" s="27"/>
      <c r="R44" s="27"/>
    </row>
    <row r="45" spans="1:18" s="1" customFormat="1" ht="12" x14ac:dyDescent="0.2">
      <c r="A45" s="10">
        <v>38</v>
      </c>
      <c r="B45" s="10" t="str">
        <f t="shared" si="1"/>
        <v>PKG-38</v>
      </c>
      <c r="C45" s="14"/>
      <c r="D45" s="26"/>
      <c r="E45" s="26"/>
      <c r="F45" s="13"/>
      <c r="G45" s="12"/>
      <c r="H45" s="3"/>
      <c r="I45" s="33"/>
      <c r="J45" s="33"/>
      <c r="K45" s="33"/>
      <c r="L45" s="38"/>
      <c r="M45" s="33"/>
      <c r="N45" s="38"/>
      <c r="O45" s="38"/>
      <c r="P45" s="27"/>
      <c r="Q45" s="27"/>
      <c r="R45" s="27"/>
    </row>
    <row r="46" spans="1:18" s="1" customFormat="1" ht="12" x14ac:dyDescent="0.2">
      <c r="A46" s="10">
        <v>39</v>
      </c>
      <c r="B46" s="10" t="str">
        <f t="shared" si="1"/>
        <v>PKG-39</v>
      </c>
      <c r="C46" s="14"/>
      <c r="D46" s="26"/>
      <c r="E46" s="26"/>
      <c r="F46" s="13"/>
      <c r="G46" s="2"/>
      <c r="H46" s="3"/>
      <c r="I46" s="33"/>
      <c r="J46" s="33"/>
      <c r="K46" s="33"/>
      <c r="L46" s="38"/>
      <c r="M46" s="33"/>
      <c r="N46" s="38"/>
      <c r="O46" s="38"/>
      <c r="P46" s="27"/>
      <c r="Q46" s="27"/>
      <c r="R46" s="27"/>
    </row>
    <row r="47" spans="1:18" s="1" customFormat="1" ht="12" x14ac:dyDescent="0.2">
      <c r="A47" s="10">
        <v>40</v>
      </c>
      <c r="B47" s="10" t="str">
        <f t="shared" si="1"/>
        <v>PKG-40</v>
      </c>
      <c r="C47" s="14"/>
      <c r="D47" s="26"/>
      <c r="E47" s="26"/>
      <c r="F47" s="13"/>
      <c r="G47" s="2"/>
      <c r="H47" s="3"/>
      <c r="I47" s="33"/>
      <c r="J47" s="33"/>
      <c r="K47" s="33"/>
      <c r="L47" s="38"/>
      <c r="M47" s="33"/>
      <c r="N47" s="38"/>
      <c r="O47" s="38"/>
      <c r="P47" s="27"/>
      <c r="Q47" s="27"/>
      <c r="R47" s="27"/>
    </row>
    <row r="48" spans="1:18" s="1" customFormat="1" ht="12" x14ac:dyDescent="0.2">
      <c r="A48" s="10">
        <v>41</v>
      </c>
      <c r="B48" s="10" t="str">
        <f t="shared" si="1"/>
        <v>PKG-41</v>
      </c>
      <c r="C48" s="4"/>
      <c r="D48" s="26"/>
      <c r="E48" s="26"/>
      <c r="F48" s="5"/>
      <c r="G48" s="2"/>
      <c r="H48" s="3"/>
      <c r="I48" s="3"/>
      <c r="J48" s="3"/>
      <c r="K48" s="3"/>
      <c r="L48" s="35"/>
      <c r="M48" s="3"/>
      <c r="N48" s="35"/>
      <c r="O48" s="35"/>
      <c r="P48" s="27"/>
      <c r="Q48" s="27"/>
      <c r="R48" s="27"/>
    </row>
    <row r="49" spans="1:18" s="1" customFormat="1" ht="12" x14ac:dyDescent="0.2">
      <c r="A49" s="10">
        <v>42</v>
      </c>
      <c r="B49" s="10" t="str">
        <f t="shared" si="1"/>
        <v>PKG-42</v>
      </c>
      <c r="C49" s="4"/>
      <c r="D49" s="26"/>
      <c r="E49" s="26"/>
      <c r="F49" s="5"/>
      <c r="G49" s="2"/>
      <c r="H49" s="3"/>
      <c r="I49" s="3"/>
      <c r="J49" s="3"/>
      <c r="K49" s="3"/>
      <c r="L49" s="35"/>
      <c r="M49" s="3"/>
      <c r="N49" s="35"/>
      <c r="O49" s="35"/>
      <c r="P49" s="27"/>
      <c r="Q49" s="27"/>
      <c r="R49" s="27"/>
    </row>
    <row r="50" spans="1:18" s="1" customFormat="1" ht="12" x14ac:dyDescent="0.2">
      <c r="A50" s="10">
        <v>43</v>
      </c>
      <c r="B50" s="10" t="str">
        <f t="shared" si="1"/>
        <v>PKG-43</v>
      </c>
      <c r="C50" s="4"/>
      <c r="D50" s="26"/>
      <c r="E50" s="26"/>
      <c r="F50" s="5"/>
      <c r="G50" s="2"/>
      <c r="H50" s="3"/>
      <c r="I50" s="3"/>
      <c r="J50" s="3"/>
      <c r="K50" s="3"/>
      <c r="L50" s="35"/>
      <c r="M50" s="3"/>
      <c r="N50" s="35"/>
      <c r="O50" s="35"/>
      <c r="P50" s="27"/>
      <c r="Q50" s="27"/>
      <c r="R50" s="27"/>
    </row>
    <row r="51" spans="1:18" s="1" customFormat="1" ht="12" x14ac:dyDescent="0.2">
      <c r="A51" s="10">
        <v>44</v>
      </c>
      <c r="B51" s="10" t="str">
        <f t="shared" si="1"/>
        <v>PKG-44</v>
      </c>
      <c r="C51" s="4"/>
      <c r="D51" s="26"/>
      <c r="E51" s="26"/>
      <c r="F51" s="5"/>
      <c r="G51" s="2"/>
      <c r="H51" s="3"/>
      <c r="I51" s="3"/>
      <c r="J51" s="3"/>
      <c r="K51" s="3"/>
      <c r="L51" s="35"/>
      <c r="M51" s="3"/>
      <c r="N51" s="35"/>
      <c r="O51" s="35"/>
      <c r="P51" s="27"/>
      <c r="Q51" s="27"/>
      <c r="R51" s="27"/>
    </row>
    <row r="52" spans="1:18" s="1" customFormat="1" ht="12" x14ac:dyDescent="0.2">
      <c r="A52" s="10">
        <v>45</v>
      </c>
      <c r="B52" s="10" t="str">
        <f t="shared" si="1"/>
        <v>PKG-45</v>
      </c>
      <c r="C52" s="4"/>
      <c r="D52" s="26"/>
      <c r="E52" s="26"/>
      <c r="F52" s="5"/>
      <c r="G52" s="2"/>
      <c r="H52" s="3"/>
      <c r="I52" s="3"/>
      <c r="J52" s="3"/>
      <c r="K52" s="3"/>
      <c r="L52" s="35"/>
      <c r="M52" s="3"/>
      <c r="N52" s="35"/>
      <c r="O52" s="35"/>
      <c r="P52" s="27"/>
      <c r="Q52" s="27"/>
      <c r="R52" s="27"/>
    </row>
    <row r="53" spans="1:18" s="1" customFormat="1" ht="12" x14ac:dyDescent="0.2">
      <c r="A53" s="10">
        <v>46</v>
      </c>
      <c r="B53" s="10" t="str">
        <f t="shared" si="1"/>
        <v>PKG-46</v>
      </c>
      <c r="C53" s="4"/>
      <c r="D53" s="26"/>
      <c r="E53" s="26"/>
      <c r="F53" s="5"/>
      <c r="G53" s="2"/>
      <c r="H53" s="3"/>
      <c r="I53" s="3"/>
      <c r="J53" s="3"/>
      <c r="K53" s="3"/>
      <c r="L53" s="35"/>
      <c r="M53" s="3"/>
      <c r="N53" s="35"/>
      <c r="O53" s="35"/>
      <c r="P53" s="27"/>
      <c r="Q53" s="27"/>
      <c r="R53" s="27"/>
    </row>
    <row r="54" spans="1:18" s="1" customFormat="1" ht="12" x14ac:dyDescent="0.2">
      <c r="A54" s="10">
        <v>47</v>
      </c>
      <c r="B54" s="10" t="str">
        <f t="shared" si="1"/>
        <v>PKG-47</v>
      </c>
      <c r="C54" s="4"/>
      <c r="D54" s="26"/>
      <c r="E54" s="26"/>
      <c r="F54" s="5"/>
      <c r="G54" s="2"/>
      <c r="H54" s="3"/>
      <c r="I54" s="3"/>
      <c r="J54" s="3"/>
      <c r="K54" s="3"/>
      <c r="L54" s="35"/>
      <c r="M54" s="3"/>
      <c r="N54" s="35"/>
      <c r="O54" s="35"/>
      <c r="P54" s="27"/>
      <c r="Q54" s="27"/>
      <c r="R54" s="27"/>
    </row>
    <row r="55" spans="1:18" s="1" customFormat="1" ht="12" x14ac:dyDescent="0.2">
      <c r="A55" s="10">
        <v>48</v>
      </c>
      <c r="B55" s="10" t="str">
        <f t="shared" si="1"/>
        <v>PKG-48</v>
      </c>
      <c r="C55" s="4"/>
      <c r="D55" s="26"/>
      <c r="E55" s="26"/>
      <c r="F55" s="5"/>
      <c r="G55" s="2"/>
      <c r="H55" s="3"/>
      <c r="I55" s="3"/>
      <c r="J55" s="3"/>
      <c r="K55" s="3"/>
      <c r="L55" s="35"/>
      <c r="M55" s="3"/>
      <c r="N55" s="35"/>
      <c r="O55" s="35"/>
      <c r="P55" s="27"/>
      <c r="Q55" s="27"/>
      <c r="R55" s="27"/>
    </row>
    <row r="56" spans="1:18" s="1" customFormat="1" ht="12" x14ac:dyDescent="0.2">
      <c r="A56" s="10">
        <v>49</v>
      </c>
      <c r="B56" s="10" t="str">
        <f t="shared" si="1"/>
        <v>PKG-49</v>
      </c>
      <c r="C56" s="4"/>
      <c r="D56" s="26"/>
      <c r="E56" s="26"/>
      <c r="F56" s="5"/>
      <c r="G56" s="2"/>
      <c r="H56" s="3"/>
      <c r="I56" s="3"/>
      <c r="J56" s="3"/>
      <c r="K56" s="3"/>
      <c r="L56" s="35"/>
      <c r="M56" s="3"/>
      <c r="N56" s="35"/>
      <c r="O56" s="35"/>
      <c r="P56" s="27"/>
      <c r="Q56" s="27"/>
      <c r="R56" s="27"/>
    </row>
    <row r="57" spans="1:18" s="1" customFormat="1" ht="12" x14ac:dyDescent="0.2">
      <c r="A57" s="10">
        <v>50</v>
      </c>
      <c r="B57" s="10" t="str">
        <f t="shared" si="1"/>
        <v>PKG-50</v>
      </c>
      <c r="C57" s="4"/>
      <c r="D57" s="26"/>
      <c r="E57" s="26"/>
      <c r="F57" s="5"/>
      <c r="G57" s="2"/>
      <c r="H57" s="3"/>
      <c r="I57" s="3"/>
      <c r="J57" s="3"/>
      <c r="K57" s="3"/>
      <c r="L57" s="35"/>
      <c r="M57" s="3"/>
      <c r="N57" s="35"/>
      <c r="O57" s="35"/>
      <c r="P57" s="27"/>
      <c r="Q57" s="27"/>
      <c r="R57" s="27"/>
    </row>
    <row r="58" spans="1:18" s="1" customFormat="1" ht="12" x14ac:dyDescent="0.2">
      <c r="A58" s="10">
        <v>51</v>
      </c>
      <c r="B58" s="10" t="str">
        <f t="shared" si="1"/>
        <v>PKG-51</v>
      </c>
      <c r="C58" s="4"/>
      <c r="D58" s="26"/>
      <c r="E58" s="26"/>
      <c r="F58" s="5"/>
      <c r="G58" s="2"/>
      <c r="H58" s="3"/>
      <c r="I58" s="3"/>
      <c r="J58" s="3"/>
      <c r="K58" s="3"/>
      <c r="L58" s="35"/>
      <c r="M58" s="3"/>
      <c r="N58" s="35"/>
      <c r="O58" s="35"/>
      <c r="P58" s="27"/>
      <c r="Q58" s="27"/>
      <c r="R58" s="27"/>
    </row>
    <row r="59" spans="1:18" s="1" customFormat="1" ht="12" x14ac:dyDescent="0.2">
      <c r="A59" s="10">
        <v>52</v>
      </c>
      <c r="B59" s="10" t="str">
        <f t="shared" si="1"/>
        <v>PKG-52</v>
      </c>
      <c r="C59" s="4"/>
      <c r="D59" s="26"/>
      <c r="E59" s="26"/>
      <c r="F59" s="5"/>
      <c r="G59" s="2"/>
      <c r="H59" s="3"/>
      <c r="I59" s="3"/>
      <c r="J59" s="3"/>
      <c r="K59" s="3"/>
      <c r="L59" s="35"/>
      <c r="M59" s="3"/>
      <c r="N59" s="35"/>
      <c r="O59" s="35"/>
      <c r="P59" s="27"/>
      <c r="Q59" s="27"/>
      <c r="R59" s="27"/>
    </row>
    <row r="60" spans="1:18" s="1" customFormat="1" ht="12" x14ac:dyDescent="0.2">
      <c r="A60" s="10">
        <v>53</v>
      </c>
      <c r="B60" s="10" t="str">
        <f t="shared" si="1"/>
        <v>PKG-53</v>
      </c>
      <c r="C60" s="4"/>
      <c r="D60" s="26"/>
      <c r="E60" s="26"/>
      <c r="F60" s="5"/>
      <c r="G60" s="2"/>
      <c r="H60" s="3"/>
      <c r="I60" s="3"/>
      <c r="J60" s="3"/>
      <c r="K60" s="3"/>
      <c r="L60" s="35"/>
      <c r="M60" s="3"/>
      <c r="N60" s="35"/>
      <c r="O60" s="35"/>
      <c r="P60" s="27"/>
      <c r="Q60" s="27"/>
      <c r="R60" s="27"/>
    </row>
    <row r="61" spans="1:18" s="1" customFormat="1" ht="12" x14ac:dyDescent="0.2">
      <c r="A61" s="10">
        <v>54</v>
      </c>
      <c r="B61" s="10" t="str">
        <f t="shared" si="1"/>
        <v>PKG-54</v>
      </c>
      <c r="C61" s="4"/>
      <c r="D61" s="26"/>
      <c r="E61" s="26"/>
      <c r="F61" s="5"/>
      <c r="G61" s="2"/>
      <c r="H61" s="3"/>
      <c r="I61" s="3"/>
      <c r="J61" s="3"/>
      <c r="K61" s="3"/>
      <c r="L61" s="35"/>
      <c r="M61" s="3"/>
      <c r="N61" s="35"/>
      <c r="O61" s="35"/>
      <c r="P61" s="27"/>
      <c r="Q61" s="27"/>
      <c r="R61" s="27"/>
    </row>
    <row r="62" spans="1:18" s="1" customFormat="1" ht="12" x14ac:dyDescent="0.2">
      <c r="A62" s="10">
        <v>55</v>
      </c>
      <c r="B62" s="10" t="str">
        <f t="shared" si="1"/>
        <v>PKG-55</v>
      </c>
      <c r="C62" s="4"/>
      <c r="D62" s="26"/>
      <c r="E62" s="26"/>
      <c r="F62" s="5"/>
      <c r="G62" s="2"/>
      <c r="H62" s="3"/>
      <c r="I62" s="3"/>
      <c r="J62" s="3"/>
      <c r="K62" s="3"/>
      <c r="L62" s="35"/>
      <c r="M62" s="3"/>
      <c r="N62" s="35"/>
      <c r="O62" s="35"/>
      <c r="P62" s="27"/>
      <c r="Q62" s="27"/>
      <c r="R62" s="27"/>
    </row>
    <row r="63" spans="1:18" s="1" customFormat="1" ht="12" x14ac:dyDescent="0.2">
      <c r="A63" s="10">
        <v>56</v>
      </c>
      <c r="B63" s="10" t="str">
        <f t="shared" si="1"/>
        <v>PKG-56</v>
      </c>
      <c r="C63" s="4"/>
      <c r="D63" s="26"/>
      <c r="E63" s="26"/>
      <c r="F63" s="5"/>
      <c r="G63" s="2"/>
      <c r="H63" s="3"/>
      <c r="I63" s="3"/>
      <c r="J63" s="3"/>
      <c r="K63" s="3"/>
      <c r="L63" s="35"/>
      <c r="M63" s="3"/>
      <c r="N63" s="35"/>
      <c r="O63" s="35"/>
      <c r="P63" s="27"/>
      <c r="Q63" s="27"/>
      <c r="R63" s="27"/>
    </row>
    <row r="64" spans="1:18" s="1" customFormat="1" ht="12" x14ac:dyDescent="0.2">
      <c r="A64" s="10">
        <v>57</v>
      </c>
      <c r="B64" s="10" t="str">
        <f t="shared" si="1"/>
        <v>PKG-57</v>
      </c>
      <c r="C64" s="4"/>
      <c r="D64" s="26"/>
      <c r="E64" s="26"/>
      <c r="F64" s="5"/>
      <c r="G64" s="2"/>
      <c r="H64" s="3"/>
      <c r="I64" s="3"/>
      <c r="J64" s="3"/>
      <c r="K64" s="3"/>
      <c r="L64" s="35"/>
      <c r="M64" s="3"/>
      <c r="N64" s="35"/>
      <c r="O64" s="35"/>
      <c r="P64" s="27"/>
      <c r="Q64" s="27"/>
      <c r="R64" s="27"/>
    </row>
    <row r="65" spans="1:18" s="1" customFormat="1" ht="12" x14ac:dyDescent="0.2">
      <c r="A65" s="10">
        <v>58</v>
      </c>
      <c r="B65" s="10" t="str">
        <f t="shared" si="1"/>
        <v>PKG-58</v>
      </c>
      <c r="C65" s="4"/>
      <c r="D65" s="26"/>
      <c r="E65" s="26"/>
      <c r="F65" s="5"/>
      <c r="G65" s="2"/>
      <c r="H65" s="3"/>
      <c r="I65" s="3"/>
      <c r="J65" s="3"/>
      <c r="K65" s="3"/>
      <c r="L65" s="35"/>
      <c r="M65" s="3"/>
      <c r="N65" s="35"/>
      <c r="O65" s="35"/>
      <c r="P65" s="27"/>
      <c r="Q65" s="27"/>
      <c r="R65" s="27"/>
    </row>
    <row r="66" spans="1:18" s="1" customFormat="1" ht="12" x14ac:dyDescent="0.2">
      <c r="A66" s="10">
        <v>59</v>
      </c>
      <c r="B66" s="10" t="str">
        <f t="shared" si="1"/>
        <v>PKG-59</v>
      </c>
      <c r="C66" s="4"/>
      <c r="D66" s="26"/>
      <c r="E66" s="26"/>
      <c r="F66" s="5"/>
      <c r="G66" s="2"/>
      <c r="H66" s="3"/>
      <c r="I66" s="3"/>
      <c r="J66" s="3"/>
      <c r="K66" s="3"/>
      <c r="L66" s="35"/>
      <c r="M66" s="3"/>
      <c r="N66" s="35"/>
      <c r="O66" s="35"/>
      <c r="P66" s="27"/>
      <c r="Q66" s="27"/>
      <c r="R66" s="27"/>
    </row>
    <row r="67" spans="1:18" s="1" customFormat="1" ht="12" x14ac:dyDescent="0.2">
      <c r="A67" s="10">
        <v>60</v>
      </c>
      <c r="B67" s="10" t="str">
        <f t="shared" si="1"/>
        <v>PKG-60</v>
      </c>
      <c r="C67" s="4"/>
      <c r="D67" s="26"/>
      <c r="E67" s="26"/>
      <c r="F67" s="5"/>
      <c r="G67" s="2"/>
      <c r="H67" s="3"/>
      <c r="I67" s="3"/>
      <c r="J67" s="3"/>
      <c r="K67" s="3"/>
      <c r="L67" s="35"/>
      <c r="M67" s="3"/>
      <c r="N67" s="35"/>
      <c r="O67" s="35"/>
      <c r="P67" s="27"/>
      <c r="Q67" s="27"/>
      <c r="R67" s="27"/>
    </row>
    <row r="68" spans="1:18" s="1" customFormat="1" ht="12" x14ac:dyDescent="0.2">
      <c r="A68" s="10">
        <v>61</v>
      </c>
      <c r="B68" s="10" t="str">
        <f t="shared" si="1"/>
        <v>PKG-61</v>
      </c>
      <c r="C68" s="4"/>
      <c r="D68" s="26"/>
      <c r="E68" s="26"/>
      <c r="F68" s="5"/>
      <c r="G68" s="2"/>
      <c r="H68" s="3"/>
      <c r="I68" s="3"/>
      <c r="J68" s="3"/>
      <c r="K68" s="3"/>
      <c r="L68" s="35"/>
      <c r="M68" s="3"/>
      <c r="N68" s="35"/>
      <c r="O68" s="35"/>
      <c r="P68" s="27"/>
      <c r="Q68" s="27"/>
      <c r="R68" s="27"/>
    </row>
    <row r="69" spans="1:18" s="1" customFormat="1" ht="12" x14ac:dyDescent="0.2">
      <c r="A69" s="10">
        <v>62</v>
      </c>
      <c r="B69" s="10" t="str">
        <f t="shared" si="1"/>
        <v>PKG-62</v>
      </c>
      <c r="C69" s="4"/>
      <c r="D69" s="26"/>
      <c r="E69" s="26"/>
      <c r="F69" s="5"/>
      <c r="G69" s="2"/>
      <c r="H69" s="3"/>
      <c r="I69" s="3"/>
      <c r="J69" s="3"/>
      <c r="K69" s="3"/>
      <c r="L69" s="35"/>
      <c r="M69" s="3"/>
      <c r="N69" s="35"/>
      <c r="O69" s="35"/>
      <c r="P69" s="27"/>
      <c r="Q69" s="27"/>
      <c r="R69" s="27"/>
    </row>
    <row r="70" spans="1:18" s="1" customFormat="1" ht="12" x14ac:dyDescent="0.2">
      <c r="A70" s="10">
        <v>63</v>
      </c>
      <c r="B70" s="10" t="str">
        <f t="shared" si="1"/>
        <v>PKG-63</v>
      </c>
      <c r="C70" s="4"/>
      <c r="D70" s="26"/>
      <c r="E70" s="26"/>
      <c r="F70" s="5"/>
      <c r="G70" s="2"/>
      <c r="H70" s="3"/>
      <c r="I70" s="3"/>
      <c r="J70" s="3"/>
      <c r="K70" s="3"/>
      <c r="L70" s="35"/>
      <c r="M70" s="3"/>
      <c r="N70" s="35"/>
      <c r="O70" s="35"/>
      <c r="P70" s="27"/>
      <c r="Q70" s="27"/>
      <c r="R70" s="27"/>
    </row>
    <row r="71" spans="1:18" s="1" customFormat="1" ht="12" x14ac:dyDescent="0.2">
      <c r="A71" s="10">
        <v>64</v>
      </c>
      <c r="B71" s="10" t="str">
        <f t="shared" si="1"/>
        <v>PKG-64</v>
      </c>
      <c r="C71" s="4"/>
      <c r="D71" s="26"/>
      <c r="E71" s="26"/>
      <c r="F71" s="5"/>
      <c r="G71" s="2"/>
      <c r="H71" s="3"/>
      <c r="I71" s="3"/>
      <c r="J71" s="3"/>
      <c r="K71" s="3"/>
      <c r="L71" s="35"/>
      <c r="M71" s="3"/>
      <c r="N71" s="35"/>
      <c r="O71" s="35"/>
      <c r="P71" s="27"/>
      <c r="Q71" s="27"/>
      <c r="R71" s="27"/>
    </row>
    <row r="72" spans="1:18" s="1" customFormat="1" ht="12" x14ac:dyDescent="0.2">
      <c r="A72" s="10">
        <v>65</v>
      </c>
      <c r="B72" s="10" t="str">
        <f t="shared" ref="B72:B103" si="2">_xlfn.CONCAT("PKG-",A72)</f>
        <v>PKG-65</v>
      </c>
      <c r="C72" s="4"/>
      <c r="D72" s="26"/>
      <c r="E72" s="26"/>
      <c r="F72" s="5"/>
      <c r="G72" s="2"/>
      <c r="H72" s="3"/>
      <c r="I72" s="3"/>
      <c r="J72" s="3"/>
      <c r="K72" s="3"/>
      <c r="L72" s="35"/>
      <c r="M72" s="3"/>
      <c r="N72" s="35"/>
      <c r="O72" s="35"/>
      <c r="P72" s="27"/>
      <c r="Q72" s="27"/>
      <c r="R72" s="27"/>
    </row>
    <row r="73" spans="1:18" s="1" customFormat="1" ht="12" x14ac:dyDescent="0.2">
      <c r="A73" s="10">
        <v>66</v>
      </c>
      <c r="B73" s="10" t="str">
        <f t="shared" si="2"/>
        <v>PKG-66</v>
      </c>
      <c r="C73" s="4"/>
      <c r="D73" s="26"/>
      <c r="E73" s="26"/>
      <c r="F73" s="5"/>
      <c r="G73" s="2"/>
      <c r="H73" s="3"/>
      <c r="I73" s="3"/>
      <c r="J73" s="3"/>
      <c r="K73" s="3"/>
      <c r="L73" s="35"/>
      <c r="M73" s="3"/>
      <c r="N73" s="35"/>
      <c r="O73" s="35"/>
      <c r="P73" s="27"/>
      <c r="Q73" s="27"/>
      <c r="R73" s="27"/>
    </row>
    <row r="74" spans="1:18" s="1" customFormat="1" ht="12" x14ac:dyDescent="0.2">
      <c r="A74" s="10">
        <v>67</v>
      </c>
      <c r="B74" s="10" t="str">
        <f t="shared" si="2"/>
        <v>PKG-67</v>
      </c>
      <c r="C74" s="4"/>
      <c r="D74" s="26"/>
      <c r="E74" s="26"/>
      <c r="F74" s="5"/>
      <c r="G74" s="2"/>
      <c r="H74" s="3"/>
      <c r="I74" s="3"/>
      <c r="J74" s="3"/>
      <c r="K74" s="3"/>
      <c r="L74" s="35"/>
      <c r="M74" s="3"/>
      <c r="N74" s="35"/>
      <c r="O74" s="35"/>
      <c r="P74" s="27"/>
      <c r="Q74" s="27"/>
      <c r="R74" s="27"/>
    </row>
    <row r="75" spans="1:18" s="1" customFormat="1" ht="12" x14ac:dyDescent="0.2">
      <c r="A75" s="10">
        <v>68</v>
      </c>
      <c r="B75" s="10" t="str">
        <f t="shared" si="2"/>
        <v>PKG-68</v>
      </c>
      <c r="C75" s="4"/>
      <c r="D75" s="26"/>
      <c r="E75" s="26"/>
      <c r="F75" s="5"/>
      <c r="G75" s="2"/>
      <c r="H75" s="3"/>
      <c r="I75" s="3"/>
      <c r="J75" s="3"/>
      <c r="K75" s="3"/>
      <c r="L75" s="35"/>
      <c r="M75" s="3"/>
      <c r="N75" s="35"/>
      <c r="O75" s="35"/>
      <c r="P75" s="27"/>
      <c r="Q75" s="27"/>
      <c r="R75" s="27"/>
    </row>
    <row r="76" spans="1:18" s="1" customFormat="1" ht="12" x14ac:dyDescent="0.2">
      <c r="A76" s="10">
        <v>69</v>
      </c>
      <c r="B76" s="10" t="str">
        <f t="shared" si="2"/>
        <v>PKG-69</v>
      </c>
      <c r="C76" s="4"/>
      <c r="D76" s="26"/>
      <c r="E76" s="26"/>
      <c r="F76" s="5"/>
      <c r="G76" s="2"/>
      <c r="H76" s="3"/>
      <c r="I76" s="3"/>
      <c r="J76" s="3"/>
      <c r="K76" s="3"/>
      <c r="L76" s="35"/>
      <c r="M76" s="3"/>
      <c r="N76" s="35"/>
      <c r="O76" s="35"/>
      <c r="P76" s="27"/>
      <c r="Q76" s="27"/>
      <c r="R76" s="27"/>
    </row>
    <row r="77" spans="1:18" s="1" customFormat="1" ht="12" x14ac:dyDescent="0.2">
      <c r="A77" s="10">
        <v>70</v>
      </c>
      <c r="B77" s="10" t="str">
        <f t="shared" si="2"/>
        <v>PKG-70</v>
      </c>
      <c r="C77" s="4"/>
      <c r="D77" s="26"/>
      <c r="E77" s="26"/>
      <c r="F77" s="5"/>
      <c r="G77" s="2"/>
      <c r="H77" s="3"/>
      <c r="I77" s="3"/>
      <c r="J77" s="3"/>
      <c r="K77" s="3"/>
      <c r="L77" s="35"/>
      <c r="M77" s="3"/>
      <c r="N77" s="35"/>
      <c r="O77" s="35"/>
      <c r="P77" s="27"/>
      <c r="Q77" s="27"/>
      <c r="R77" s="27"/>
    </row>
    <row r="78" spans="1:18" s="1" customFormat="1" ht="12" x14ac:dyDescent="0.2">
      <c r="A78" s="10">
        <v>71</v>
      </c>
      <c r="B78" s="10" t="str">
        <f t="shared" si="2"/>
        <v>PKG-71</v>
      </c>
      <c r="C78" s="4"/>
      <c r="D78" s="26"/>
      <c r="E78" s="26"/>
      <c r="F78" s="5"/>
      <c r="G78" s="2"/>
      <c r="H78" s="3"/>
      <c r="I78" s="3"/>
      <c r="J78" s="3"/>
      <c r="K78" s="3"/>
      <c r="L78" s="35"/>
      <c r="M78" s="3"/>
      <c r="N78" s="35"/>
      <c r="O78" s="35"/>
      <c r="P78" s="27"/>
      <c r="Q78" s="27"/>
      <c r="R78" s="27"/>
    </row>
    <row r="79" spans="1:18" s="1" customFormat="1" ht="12" x14ac:dyDescent="0.2">
      <c r="A79" s="10">
        <v>72</v>
      </c>
      <c r="B79" s="10" t="str">
        <f t="shared" si="2"/>
        <v>PKG-72</v>
      </c>
      <c r="C79" s="4"/>
      <c r="D79" s="26"/>
      <c r="E79" s="26"/>
      <c r="F79" s="5"/>
      <c r="G79" s="2"/>
      <c r="H79" s="3"/>
      <c r="I79" s="3"/>
      <c r="J79" s="3"/>
      <c r="K79" s="3"/>
      <c r="L79" s="35"/>
      <c r="M79" s="3"/>
      <c r="N79" s="35"/>
      <c r="O79" s="35"/>
      <c r="P79" s="27"/>
      <c r="Q79" s="27"/>
      <c r="R79" s="27"/>
    </row>
    <row r="80" spans="1:18" s="1" customFormat="1" ht="12" x14ac:dyDescent="0.2">
      <c r="A80" s="10">
        <v>73</v>
      </c>
      <c r="B80" s="10" t="str">
        <f t="shared" si="2"/>
        <v>PKG-73</v>
      </c>
      <c r="C80" s="4"/>
      <c r="D80" s="26"/>
      <c r="E80" s="26"/>
      <c r="F80" s="5"/>
      <c r="G80" s="2"/>
      <c r="H80" s="3"/>
      <c r="I80" s="3"/>
      <c r="J80" s="3"/>
      <c r="K80" s="3"/>
      <c r="L80" s="35"/>
      <c r="M80" s="3"/>
      <c r="N80" s="35"/>
      <c r="O80" s="35"/>
      <c r="P80" s="27"/>
      <c r="Q80" s="27"/>
      <c r="R80" s="27"/>
    </row>
    <row r="81" spans="1:18" s="1" customFormat="1" ht="12" x14ac:dyDescent="0.2">
      <c r="A81" s="10">
        <v>74</v>
      </c>
      <c r="B81" s="10" t="str">
        <f t="shared" si="2"/>
        <v>PKG-74</v>
      </c>
      <c r="C81" s="4"/>
      <c r="D81" s="26"/>
      <c r="E81" s="26"/>
      <c r="F81" s="5"/>
      <c r="G81" s="2"/>
      <c r="H81" s="3"/>
      <c r="I81" s="3"/>
      <c r="J81" s="3"/>
      <c r="K81" s="3"/>
      <c r="L81" s="35"/>
      <c r="M81" s="3"/>
      <c r="N81" s="35"/>
      <c r="O81" s="35"/>
      <c r="P81" s="27"/>
      <c r="Q81" s="27"/>
      <c r="R81" s="27"/>
    </row>
    <row r="82" spans="1:18" s="1" customFormat="1" ht="12" x14ac:dyDescent="0.2">
      <c r="A82" s="10">
        <v>75</v>
      </c>
      <c r="B82" s="10" t="str">
        <f t="shared" si="2"/>
        <v>PKG-75</v>
      </c>
      <c r="C82" s="4"/>
      <c r="D82" s="26"/>
      <c r="E82" s="26"/>
      <c r="F82" s="5"/>
      <c r="G82" s="2"/>
      <c r="H82" s="3"/>
      <c r="I82" s="3"/>
      <c r="J82" s="3"/>
      <c r="K82" s="3"/>
      <c r="L82" s="35"/>
      <c r="M82" s="3"/>
      <c r="N82" s="35"/>
      <c r="O82" s="35"/>
      <c r="P82" s="27"/>
      <c r="Q82" s="27"/>
      <c r="R82" s="27"/>
    </row>
    <row r="83" spans="1:18" s="1" customFormat="1" ht="12" x14ac:dyDescent="0.2">
      <c r="A83" s="10">
        <v>76</v>
      </c>
      <c r="B83" s="10" t="str">
        <f t="shared" si="2"/>
        <v>PKG-76</v>
      </c>
      <c r="C83" s="4"/>
      <c r="D83" s="26"/>
      <c r="E83" s="26"/>
      <c r="F83" s="5"/>
      <c r="G83" s="2"/>
      <c r="H83" s="3"/>
      <c r="I83" s="3"/>
      <c r="J83" s="3"/>
      <c r="K83" s="3"/>
      <c r="L83" s="35"/>
      <c r="M83" s="3"/>
      <c r="N83" s="35"/>
      <c r="O83" s="35"/>
      <c r="P83" s="27"/>
      <c r="Q83" s="27"/>
      <c r="R83" s="27"/>
    </row>
    <row r="84" spans="1:18" s="1" customFormat="1" ht="12" x14ac:dyDescent="0.2">
      <c r="A84" s="10">
        <v>77</v>
      </c>
      <c r="B84" s="10" t="str">
        <f t="shared" si="2"/>
        <v>PKG-77</v>
      </c>
      <c r="C84" s="4"/>
      <c r="D84" s="26"/>
      <c r="E84" s="26"/>
      <c r="F84" s="5"/>
      <c r="G84" s="2"/>
      <c r="H84" s="3"/>
      <c r="I84" s="3"/>
      <c r="J84" s="3"/>
      <c r="K84" s="3"/>
      <c r="L84" s="35"/>
      <c r="M84" s="3"/>
      <c r="N84" s="35"/>
      <c r="O84" s="35"/>
      <c r="P84" s="27"/>
      <c r="Q84" s="27"/>
      <c r="R84" s="27"/>
    </row>
    <row r="85" spans="1:18" s="1" customFormat="1" ht="12" x14ac:dyDescent="0.2">
      <c r="A85" s="10">
        <v>78</v>
      </c>
      <c r="B85" s="10" t="str">
        <f t="shared" si="2"/>
        <v>PKG-78</v>
      </c>
      <c r="C85" s="4"/>
      <c r="D85" s="26"/>
      <c r="E85" s="26"/>
      <c r="F85" s="5"/>
      <c r="G85" s="2"/>
      <c r="H85" s="3"/>
      <c r="I85" s="3"/>
      <c r="J85" s="3"/>
      <c r="K85" s="3"/>
      <c r="L85" s="35"/>
      <c r="M85" s="3"/>
      <c r="N85" s="35"/>
      <c r="O85" s="35"/>
      <c r="P85" s="27"/>
      <c r="Q85" s="27"/>
      <c r="R85" s="27"/>
    </row>
    <row r="86" spans="1:18" s="1" customFormat="1" ht="12" x14ac:dyDescent="0.2">
      <c r="A86" s="10">
        <v>79</v>
      </c>
      <c r="B86" s="10" t="str">
        <f t="shared" si="2"/>
        <v>PKG-79</v>
      </c>
      <c r="C86" s="4"/>
      <c r="D86" s="26"/>
      <c r="E86" s="26"/>
      <c r="F86" s="5"/>
      <c r="G86" s="2"/>
      <c r="H86" s="3"/>
      <c r="I86" s="3"/>
      <c r="J86" s="3"/>
      <c r="K86" s="3"/>
      <c r="L86" s="35"/>
      <c r="M86" s="3"/>
      <c r="N86" s="35"/>
      <c r="O86" s="35"/>
      <c r="P86" s="27"/>
      <c r="Q86" s="27"/>
      <c r="R86" s="27"/>
    </row>
    <row r="87" spans="1:18" s="1" customFormat="1" ht="12" x14ac:dyDescent="0.2">
      <c r="A87" s="10">
        <v>80</v>
      </c>
      <c r="B87" s="10" t="str">
        <f t="shared" si="2"/>
        <v>PKG-80</v>
      </c>
      <c r="C87" s="4"/>
      <c r="D87" s="26"/>
      <c r="E87" s="26"/>
      <c r="F87" s="5"/>
      <c r="G87" s="2"/>
      <c r="H87" s="3"/>
      <c r="I87" s="3"/>
      <c r="J87" s="3"/>
      <c r="K87" s="3"/>
      <c r="L87" s="35"/>
      <c r="M87" s="3"/>
      <c r="N87" s="35"/>
      <c r="O87" s="35"/>
      <c r="P87" s="27"/>
      <c r="Q87" s="27"/>
      <c r="R87" s="27"/>
    </row>
    <row r="88" spans="1:18" s="1" customFormat="1" ht="12" x14ac:dyDescent="0.2">
      <c r="A88" s="10">
        <v>81</v>
      </c>
      <c r="B88" s="10" t="str">
        <f t="shared" si="2"/>
        <v>PKG-81</v>
      </c>
      <c r="C88" s="4"/>
      <c r="D88" s="26"/>
      <c r="E88" s="26"/>
      <c r="F88" s="5"/>
      <c r="G88" s="2"/>
      <c r="H88" s="3"/>
      <c r="I88" s="3"/>
      <c r="J88" s="3"/>
      <c r="K88" s="3"/>
      <c r="L88" s="35"/>
      <c r="M88" s="3"/>
      <c r="N88" s="35"/>
      <c r="O88" s="35"/>
      <c r="P88" s="27"/>
      <c r="Q88" s="27"/>
      <c r="R88" s="27"/>
    </row>
    <row r="89" spans="1:18" s="1" customFormat="1" ht="12" x14ac:dyDescent="0.2">
      <c r="A89" s="10">
        <v>82</v>
      </c>
      <c r="B89" s="10" t="str">
        <f t="shared" si="2"/>
        <v>PKG-82</v>
      </c>
      <c r="C89" s="4"/>
      <c r="D89" s="26"/>
      <c r="E89" s="26"/>
      <c r="F89" s="5"/>
      <c r="G89" s="2"/>
      <c r="H89" s="3"/>
      <c r="I89" s="3"/>
      <c r="J89" s="3"/>
      <c r="K89" s="3"/>
      <c r="L89" s="35"/>
      <c r="M89" s="3"/>
      <c r="N89" s="35"/>
      <c r="O89" s="35"/>
      <c r="P89" s="27"/>
      <c r="Q89" s="27"/>
      <c r="R89" s="27"/>
    </row>
    <row r="90" spans="1:18" s="1" customFormat="1" ht="12" x14ac:dyDescent="0.2">
      <c r="A90" s="10">
        <v>83</v>
      </c>
      <c r="B90" s="10" t="str">
        <f t="shared" si="2"/>
        <v>PKG-83</v>
      </c>
      <c r="C90" s="4"/>
      <c r="D90" s="26"/>
      <c r="E90" s="26"/>
      <c r="F90" s="5"/>
      <c r="G90" s="2"/>
      <c r="H90" s="3"/>
      <c r="I90" s="3"/>
      <c r="J90" s="3"/>
      <c r="K90" s="3"/>
      <c r="L90" s="35"/>
      <c r="M90" s="3"/>
      <c r="N90" s="35"/>
      <c r="O90" s="35"/>
      <c r="P90" s="27"/>
      <c r="Q90" s="27"/>
      <c r="R90" s="27"/>
    </row>
    <row r="91" spans="1:18" s="1" customFormat="1" ht="12" x14ac:dyDescent="0.2">
      <c r="A91" s="10">
        <v>84</v>
      </c>
      <c r="B91" s="10" t="str">
        <f t="shared" si="2"/>
        <v>PKG-84</v>
      </c>
      <c r="C91" s="4"/>
      <c r="D91" s="26"/>
      <c r="E91" s="26"/>
      <c r="F91" s="5"/>
      <c r="G91" s="2"/>
      <c r="H91" s="3"/>
      <c r="I91" s="3"/>
      <c r="J91" s="3"/>
      <c r="K91" s="3"/>
      <c r="L91" s="35"/>
      <c r="M91" s="3"/>
      <c r="N91" s="35"/>
      <c r="O91" s="35"/>
      <c r="P91" s="27"/>
      <c r="Q91" s="27"/>
      <c r="R91" s="27"/>
    </row>
    <row r="92" spans="1:18" s="1" customFormat="1" ht="12" x14ac:dyDescent="0.2">
      <c r="A92" s="10">
        <v>85</v>
      </c>
      <c r="B92" s="10" t="str">
        <f t="shared" si="2"/>
        <v>PKG-85</v>
      </c>
      <c r="C92" s="4"/>
      <c r="D92" s="26"/>
      <c r="E92" s="26"/>
      <c r="F92" s="5"/>
      <c r="G92" s="2"/>
      <c r="H92" s="3"/>
      <c r="I92" s="3"/>
      <c r="J92" s="3"/>
      <c r="K92" s="3"/>
      <c r="L92" s="35"/>
      <c r="M92" s="3"/>
      <c r="N92" s="35"/>
      <c r="O92" s="35"/>
      <c r="P92" s="27"/>
      <c r="Q92" s="27"/>
      <c r="R92" s="27"/>
    </row>
    <row r="93" spans="1:18" s="1" customFormat="1" ht="12" x14ac:dyDescent="0.2">
      <c r="A93" s="10">
        <v>86</v>
      </c>
      <c r="B93" s="10" t="str">
        <f t="shared" si="2"/>
        <v>PKG-86</v>
      </c>
      <c r="C93" s="4"/>
      <c r="D93" s="26"/>
      <c r="E93" s="26"/>
      <c r="F93" s="5"/>
      <c r="G93" s="2"/>
      <c r="H93" s="3"/>
      <c r="I93" s="3"/>
      <c r="J93" s="3"/>
      <c r="K93" s="3"/>
      <c r="L93" s="35"/>
      <c r="M93" s="3"/>
      <c r="N93" s="35"/>
      <c r="O93" s="35"/>
      <c r="P93" s="27"/>
      <c r="Q93" s="27"/>
      <c r="R93" s="27"/>
    </row>
    <row r="94" spans="1:18" s="1" customFormat="1" ht="12" x14ac:dyDescent="0.2">
      <c r="A94" s="10">
        <v>87</v>
      </c>
      <c r="B94" s="10" t="str">
        <f t="shared" si="2"/>
        <v>PKG-87</v>
      </c>
      <c r="C94" s="4"/>
      <c r="D94" s="26"/>
      <c r="E94" s="26"/>
      <c r="F94" s="5"/>
      <c r="G94" s="2"/>
      <c r="H94" s="3"/>
      <c r="I94" s="3"/>
      <c r="J94" s="3"/>
      <c r="K94" s="3"/>
      <c r="L94" s="35"/>
      <c r="M94" s="3"/>
      <c r="N94" s="35"/>
      <c r="O94" s="35"/>
      <c r="P94" s="27"/>
      <c r="Q94" s="27"/>
      <c r="R94" s="27"/>
    </row>
    <row r="95" spans="1:18" s="1" customFormat="1" ht="12" x14ac:dyDescent="0.2">
      <c r="A95" s="10">
        <v>88</v>
      </c>
      <c r="B95" s="10" t="str">
        <f t="shared" si="2"/>
        <v>PKG-88</v>
      </c>
      <c r="C95" s="4"/>
      <c r="D95" s="26"/>
      <c r="E95" s="26"/>
      <c r="F95" s="5"/>
      <c r="G95" s="2"/>
      <c r="H95" s="3"/>
      <c r="I95" s="3"/>
      <c r="J95" s="3"/>
      <c r="K95" s="3"/>
      <c r="L95" s="35"/>
      <c r="M95" s="3"/>
      <c r="N95" s="35"/>
      <c r="O95" s="35"/>
      <c r="P95" s="27"/>
      <c r="Q95" s="27"/>
      <c r="R95" s="27"/>
    </row>
    <row r="96" spans="1:18" s="1" customFormat="1" ht="12" x14ac:dyDescent="0.2">
      <c r="A96" s="10">
        <v>89</v>
      </c>
      <c r="B96" s="10" t="str">
        <f t="shared" si="2"/>
        <v>PKG-89</v>
      </c>
      <c r="C96" s="4"/>
      <c r="D96" s="26"/>
      <c r="E96" s="26"/>
      <c r="F96" s="5"/>
      <c r="G96" s="2"/>
      <c r="H96" s="3"/>
      <c r="I96" s="3"/>
      <c r="J96" s="3"/>
      <c r="K96" s="3"/>
      <c r="L96" s="35"/>
      <c r="M96" s="3"/>
      <c r="N96" s="35"/>
      <c r="O96" s="35"/>
      <c r="P96" s="27"/>
      <c r="Q96" s="27"/>
      <c r="R96" s="27"/>
    </row>
    <row r="97" spans="1:18" s="1" customFormat="1" ht="12" x14ac:dyDescent="0.2">
      <c r="A97" s="10">
        <v>90</v>
      </c>
      <c r="B97" s="10" t="str">
        <f t="shared" si="2"/>
        <v>PKG-90</v>
      </c>
      <c r="C97" s="4"/>
      <c r="D97" s="26"/>
      <c r="E97" s="26"/>
      <c r="F97" s="5"/>
      <c r="G97" s="2"/>
      <c r="H97" s="3"/>
      <c r="I97" s="3"/>
      <c r="J97" s="3"/>
      <c r="K97" s="3"/>
      <c r="L97" s="35"/>
      <c r="M97" s="3"/>
      <c r="N97" s="35"/>
      <c r="O97" s="35"/>
      <c r="P97" s="27"/>
      <c r="Q97" s="27"/>
      <c r="R97" s="27"/>
    </row>
    <row r="98" spans="1:18" s="1" customFormat="1" ht="12" x14ac:dyDescent="0.2">
      <c r="A98" s="10">
        <v>91</v>
      </c>
      <c r="B98" s="10" t="str">
        <f t="shared" si="2"/>
        <v>PKG-91</v>
      </c>
      <c r="C98" s="4"/>
      <c r="D98" s="26"/>
      <c r="E98" s="26"/>
      <c r="F98" s="5"/>
      <c r="G98" s="2"/>
      <c r="H98" s="3"/>
      <c r="I98" s="3"/>
      <c r="J98" s="3"/>
      <c r="K98" s="3"/>
      <c r="L98" s="35"/>
      <c r="M98" s="3"/>
      <c r="N98" s="35"/>
      <c r="O98" s="35"/>
      <c r="P98" s="27"/>
      <c r="Q98" s="27"/>
      <c r="R98" s="27"/>
    </row>
    <row r="99" spans="1:18" s="1" customFormat="1" ht="12" x14ac:dyDescent="0.2">
      <c r="A99" s="10">
        <v>92</v>
      </c>
      <c r="B99" s="10" t="str">
        <f t="shared" si="2"/>
        <v>PKG-92</v>
      </c>
      <c r="C99" s="4"/>
      <c r="D99" s="26"/>
      <c r="E99" s="26"/>
      <c r="F99" s="5"/>
      <c r="G99" s="2"/>
      <c r="H99" s="3"/>
      <c r="I99" s="3"/>
      <c r="J99" s="3"/>
      <c r="K99" s="3"/>
      <c r="L99" s="35"/>
      <c r="M99" s="3"/>
      <c r="N99" s="35"/>
      <c r="O99" s="35"/>
      <c r="P99" s="27"/>
      <c r="Q99" s="27"/>
      <c r="R99" s="27"/>
    </row>
    <row r="100" spans="1:18" s="1" customFormat="1" ht="12" x14ac:dyDescent="0.2">
      <c r="A100" s="10">
        <v>93</v>
      </c>
      <c r="B100" s="10" t="str">
        <f t="shared" si="2"/>
        <v>PKG-93</v>
      </c>
      <c r="C100" s="4"/>
      <c r="D100" s="26"/>
      <c r="E100" s="26"/>
      <c r="F100" s="5"/>
      <c r="G100" s="2"/>
      <c r="H100" s="3"/>
      <c r="I100" s="3"/>
      <c r="J100" s="3"/>
      <c r="K100" s="3"/>
      <c r="L100" s="35"/>
      <c r="M100" s="3"/>
      <c r="N100" s="35"/>
      <c r="O100" s="35"/>
      <c r="P100" s="27"/>
      <c r="Q100" s="27"/>
      <c r="R100" s="27"/>
    </row>
    <row r="101" spans="1:18" s="1" customFormat="1" ht="12" x14ac:dyDescent="0.2">
      <c r="A101" s="10">
        <v>94</v>
      </c>
      <c r="B101" s="10" t="str">
        <f t="shared" si="2"/>
        <v>PKG-94</v>
      </c>
      <c r="C101" s="4"/>
      <c r="D101" s="26"/>
      <c r="E101" s="26"/>
      <c r="F101" s="5"/>
      <c r="G101" s="2"/>
      <c r="H101" s="3"/>
      <c r="I101" s="3"/>
      <c r="J101" s="3"/>
      <c r="K101" s="3"/>
      <c r="L101" s="35"/>
      <c r="M101" s="3"/>
      <c r="N101" s="35"/>
      <c r="O101" s="35"/>
      <c r="P101" s="27"/>
      <c r="Q101" s="27"/>
      <c r="R101" s="27"/>
    </row>
    <row r="102" spans="1:18" s="1" customFormat="1" ht="12" x14ac:dyDescent="0.2">
      <c r="A102" s="10">
        <v>95</v>
      </c>
      <c r="B102" s="10" t="str">
        <f t="shared" si="2"/>
        <v>PKG-95</v>
      </c>
      <c r="C102" s="4"/>
      <c r="D102" s="26"/>
      <c r="E102" s="26"/>
      <c r="F102" s="5"/>
      <c r="G102" s="2"/>
      <c r="H102" s="3"/>
      <c r="I102" s="3"/>
      <c r="J102" s="3"/>
      <c r="K102" s="3"/>
      <c r="L102" s="35"/>
      <c r="M102" s="3"/>
      <c r="N102" s="35"/>
      <c r="O102" s="35"/>
      <c r="P102" s="27"/>
      <c r="Q102" s="27"/>
      <c r="R102" s="27"/>
    </row>
    <row r="103" spans="1:18" s="1" customFormat="1" ht="12" x14ac:dyDescent="0.2">
      <c r="A103" s="10">
        <v>96</v>
      </c>
      <c r="B103" s="10" t="str">
        <f t="shared" si="2"/>
        <v>PKG-96</v>
      </c>
      <c r="C103" s="4"/>
      <c r="D103" s="26"/>
      <c r="E103" s="26"/>
      <c r="F103" s="5"/>
      <c r="G103" s="2"/>
      <c r="H103" s="3"/>
      <c r="I103" s="3"/>
      <c r="J103" s="3"/>
      <c r="K103" s="3"/>
      <c r="L103" s="35"/>
      <c r="M103" s="3"/>
      <c r="N103" s="35"/>
      <c r="O103" s="35"/>
      <c r="P103" s="27"/>
      <c r="Q103" s="27"/>
      <c r="R103" s="27"/>
    </row>
    <row r="104" spans="1:18" s="1" customFormat="1" ht="12" x14ac:dyDescent="0.2">
      <c r="A104" s="10">
        <v>97</v>
      </c>
      <c r="B104" s="10" t="str">
        <f t="shared" ref="B104:B135" si="3">_xlfn.CONCAT("PKG-",A104)</f>
        <v>PKG-97</v>
      </c>
      <c r="C104" s="4"/>
      <c r="D104" s="26"/>
      <c r="E104" s="26"/>
      <c r="F104" s="5"/>
      <c r="G104" s="2"/>
      <c r="H104" s="3"/>
      <c r="I104" s="3"/>
      <c r="J104" s="3"/>
      <c r="K104" s="3"/>
      <c r="L104" s="35"/>
      <c r="M104" s="3"/>
      <c r="N104" s="35"/>
      <c r="O104" s="35"/>
      <c r="P104" s="27"/>
      <c r="Q104" s="27"/>
      <c r="R104" s="27"/>
    </row>
    <row r="105" spans="1:18" s="1" customFormat="1" ht="12" x14ac:dyDescent="0.2">
      <c r="A105" s="10">
        <v>98</v>
      </c>
      <c r="B105" s="10" t="str">
        <f t="shared" si="3"/>
        <v>PKG-98</v>
      </c>
      <c r="C105" s="4"/>
      <c r="D105" s="26"/>
      <c r="E105" s="26"/>
      <c r="F105" s="5"/>
      <c r="G105" s="2"/>
      <c r="H105" s="3"/>
      <c r="I105" s="3"/>
      <c r="J105" s="3"/>
      <c r="K105" s="3"/>
      <c r="L105" s="35"/>
      <c r="M105" s="3"/>
      <c r="N105" s="35"/>
      <c r="O105" s="35"/>
      <c r="P105" s="27"/>
      <c r="Q105" s="27"/>
      <c r="R105" s="27"/>
    </row>
    <row r="106" spans="1:18" s="1" customFormat="1" ht="12" x14ac:dyDescent="0.2">
      <c r="A106" s="10">
        <v>99</v>
      </c>
      <c r="B106" s="10" t="str">
        <f t="shared" si="3"/>
        <v>PKG-99</v>
      </c>
      <c r="C106" s="4"/>
      <c r="D106" s="26"/>
      <c r="E106" s="26"/>
      <c r="F106" s="5"/>
      <c r="G106" s="2"/>
      <c r="H106" s="3"/>
      <c r="I106" s="3"/>
      <c r="J106" s="3"/>
      <c r="K106" s="3"/>
      <c r="L106" s="35"/>
      <c r="M106" s="3"/>
      <c r="N106" s="35"/>
      <c r="O106" s="35"/>
      <c r="P106" s="27"/>
      <c r="Q106" s="27"/>
      <c r="R106" s="27"/>
    </row>
    <row r="107" spans="1:18" s="1" customFormat="1" ht="12" x14ac:dyDescent="0.2">
      <c r="A107" s="10">
        <v>100</v>
      </c>
      <c r="B107" s="10" t="str">
        <f t="shared" si="3"/>
        <v>PKG-100</v>
      </c>
      <c r="C107" s="4"/>
      <c r="D107" s="26"/>
      <c r="E107" s="26"/>
      <c r="F107" s="5"/>
      <c r="G107" s="2"/>
      <c r="H107" s="3"/>
      <c r="I107" s="3"/>
      <c r="J107" s="3"/>
      <c r="K107" s="3"/>
      <c r="L107" s="35"/>
      <c r="M107" s="3"/>
      <c r="N107" s="35"/>
      <c r="O107" s="35"/>
      <c r="P107" s="27"/>
      <c r="Q107" s="27"/>
      <c r="R107" s="27"/>
    </row>
    <row r="108" spans="1:18" s="1" customFormat="1" ht="12" x14ac:dyDescent="0.2">
      <c r="A108" s="10">
        <v>101</v>
      </c>
      <c r="B108" s="10" t="str">
        <f t="shared" si="3"/>
        <v>PKG-101</v>
      </c>
      <c r="C108" s="4"/>
      <c r="D108" s="26"/>
      <c r="E108" s="26"/>
      <c r="F108" s="5"/>
      <c r="G108" s="2"/>
      <c r="H108" s="3"/>
      <c r="I108" s="3"/>
      <c r="J108" s="3"/>
      <c r="K108" s="3"/>
      <c r="L108" s="35"/>
      <c r="M108" s="3"/>
      <c r="N108" s="35"/>
      <c r="O108" s="35"/>
      <c r="P108" s="27"/>
      <c r="Q108" s="27"/>
      <c r="R108" s="27"/>
    </row>
    <row r="109" spans="1:18" s="1" customFormat="1" ht="12" x14ac:dyDescent="0.2">
      <c r="A109" s="10">
        <v>102</v>
      </c>
      <c r="B109" s="10" t="str">
        <f t="shared" si="3"/>
        <v>PKG-102</v>
      </c>
      <c r="C109" s="4"/>
      <c r="D109" s="26"/>
      <c r="E109" s="26"/>
      <c r="F109" s="5"/>
      <c r="G109" s="2"/>
      <c r="H109" s="3"/>
      <c r="I109" s="3"/>
      <c r="J109" s="3"/>
      <c r="K109" s="3"/>
      <c r="L109" s="35"/>
      <c r="M109" s="3"/>
      <c r="N109" s="35"/>
      <c r="O109" s="35"/>
      <c r="P109" s="27"/>
      <c r="Q109" s="27"/>
      <c r="R109" s="27"/>
    </row>
    <row r="110" spans="1:18" s="1" customFormat="1" ht="12" x14ac:dyDescent="0.2">
      <c r="A110" s="10">
        <v>103</v>
      </c>
      <c r="B110" s="10" t="str">
        <f t="shared" si="3"/>
        <v>PKG-103</v>
      </c>
      <c r="C110" s="4"/>
      <c r="D110" s="26"/>
      <c r="E110" s="26"/>
      <c r="F110" s="5"/>
      <c r="G110" s="2"/>
      <c r="H110" s="3"/>
      <c r="I110" s="3"/>
      <c r="J110" s="3"/>
      <c r="K110" s="3"/>
      <c r="L110" s="35"/>
      <c r="M110" s="3"/>
      <c r="N110" s="35"/>
      <c r="O110" s="35"/>
      <c r="P110" s="27"/>
      <c r="Q110" s="27"/>
      <c r="R110" s="27"/>
    </row>
    <row r="111" spans="1:18" s="1" customFormat="1" ht="12" x14ac:dyDescent="0.2">
      <c r="A111" s="10">
        <v>104</v>
      </c>
      <c r="B111" s="10" t="str">
        <f t="shared" si="3"/>
        <v>PKG-104</v>
      </c>
      <c r="C111" s="4"/>
      <c r="D111" s="26"/>
      <c r="E111" s="26"/>
      <c r="F111" s="5"/>
      <c r="G111" s="2"/>
      <c r="H111" s="3"/>
      <c r="I111" s="3"/>
      <c r="J111" s="3"/>
      <c r="K111" s="3"/>
      <c r="L111" s="35"/>
      <c r="M111" s="3"/>
      <c r="N111" s="35"/>
      <c r="O111" s="35"/>
      <c r="P111" s="27"/>
      <c r="Q111" s="27"/>
      <c r="R111" s="27"/>
    </row>
    <row r="112" spans="1:18" s="1" customFormat="1" ht="12" x14ac:dyDescent="0.2">
      <c r="A112" s="10">
        <v>105</v>
      </c>
      <c r="B112" s="10" t="str">
        <f t="shared" si="3"/>
        <v>PKG-105</v>
      </c>
      <c r="C112" s="4"/>
      <c r="D112" s="26"/>
      <c r="E112" s="26"/>
      <c r="F112" s="5"/>
      <c r="G112" s="2"/>
      <c r="H112" s="3"/>
      <c r="I112" s="3"/>
      <c r="J112" s="3"/>
      <c r="K112" s="3"/>
      <c r="L112" s="35"/>
      <c r="M112" s="3"/>
      <c r="N112" s="35"/>
      <c r="O112" s="35"/>
      <c r="P112" s="27"/>
      <c r="Q112" s="27"/>
      <c r="R112" s="27"/>
    </row>
    <row r="113" spans="1:18" s="1" customFormat="1" ht="12" x14ac:dyDescent="0.2">
      <c r="A113" s="10">
        <v>106</v>
      </c>
      <c r="B113" s="10" t="str">
        <f t="shared" si="3"/>
        <v>PKG-106</v>
      </c>
      <c r="C113" s="4"/>
      <c r="D113" s="26"/>
      <c r="E113" s="26"/>
      <c r="F113" s="5"/>
      <c r="G113" s="2"/>
      <c r="H113" s="3"/>
      <c r="I113" s="3"/>
      <c r="J113" s="3"/>
      <c r="K113" s="3"/>
      <c r="L113" s="35"/>
      <c r="M113" s="3"/>
      <c r="N113" s="35"/>
      <c r="O113" s="35"/>
      <c r="P113" s="27"/>
      <c r="Q113" s="27"/>
      <c r="R113" s="27"/>
    </row>
    <row r="114" spans="1:18" s="1" customFormat="1" ht="12" x14ac:dyDescent="0.2">
      <c r="A114" s="10">
        <v>107</v>
      </c>
      <c r="B114" s="10" t="str">
        <f t="shared" si="3"/>
        <v>PKG-107</v>
      </c>
      <c r="C114" s="4"/>
      <c r="D114" s="26"/>
      <c r="E114" s="26"/>
      <c r="F114" s="5"/>
      <c r="G114" s="2"/>
      <c r="H114" s="3"/>
      <c r="I114" s="3"/>
      <c r="J114" s="3"/>
      <c r="K114" s="3"/>
      <c r="L114" s="35"/>
      <c r="M114" s="3"/>
      <c r="N114" s="35"/>
      <c r="O114" s="35"/>
      <c r="P114" s="27"/>
      <c r="Q114" s="27"/>
      <c r="R114" s="27"/>
    </row>
    <row r="115" spans="1:18" s="1" customFormat="1" ht="12" x14ac:dyDescent="0.2">
      <c r="A115" s="10">
        <v>108</v>
      </c>
      <c r="B115" s="10" t="str">
        <f t="shared" si="3"/>
        <v>PKG-108</v>
      </c>
      <c r="C115" s="4"/>
      <c r="D115" s="26"/>
      <c r="E115" s="26"/>
      <c r="F115" s="5"/>
      <c r="G115" s="2"/>
      <c r="H115" s="3"/>
      <c r="I115" s="3"/>
      <c r="J115" s="3"/>
      <c r="K115" s="3"/>
      <c r="L115" s="35"/>
      <c r="M115" s="3"/>
      <c r="N115" s="35"/>
      <c r="O115" s="35"/>
      <c r="P115" s="27"/>
      <c r="Q115" s="27"/>
      <c r="R115" s="27"/>
    </row>
    <row r="116" spans="1:18" s="1" customFormat="1" ht="12" x14ac:dyDescent="0.2">
      <c r="A116" s="10">
        <v>109</v>
      </c>
      <c r="B116" s="10" t="str">
        <f t="shared" si="3"/>
        <v>PKG-109</v>
      </c>
      <c r="C116" s="4"/>
      <c r="D116" s="26"/>
      <c r="E116" s="26"/>
      <c r="F116" s="5"/>
      <c r="G116" s="2"/>
      <c r="H116" s="3"/>
      <c r="I116" s="3"/>
      <c r="J116" s="3"/>
      <c r="K116" s="3"/>
      <c r="L116" s="35"/>
      <c r="M116" s="3"/>
      <c r="N116" s="35"/>
      <c r="O116" s="35"/>
      <c r="P116" s="27"/>
      <c r="Q116" s="27"/>
      <c r="R116" s="27"/>
    </row>
    <row r="117" spans="1:18" s="1" customFormat="1" ht="12" x14ac:dyDescent="0.2">
      <c r="A117" s="10">
        <v>110</v>
      </c>
      <c r="B117" s="10" t="str">
        <f t="shared" si="3"/>
        <v>PKG-110</v>
      </c>
      <c r="C117" s="4"/>
      <c r="D117" s="26"/>
      <c r="E117" s="26"/>
      <c r="F117" s="5"/>
      <c r="G117" s="2"/>
      <c r="H117" s="3"/>
      <c r="I117" s="3"/>
      <c r="J117" s="3"/>
      <c r="K117" s="3"/>
      <c r="L117" s="35"/>
      <c r="M117" s="3"/>
      <c r="N117" s="35"/>
      <c r="O117" s="35"/>
      <c r="P117" s="27"/>
      <c r="Q117" s="27"/>
      <c r="R117" s="27"/>
    </row>
    <row r="118" spans="1:18" s="1" customFormat="1" ht="12" x14ac:dyDescent="0.2">
      <c r="A118" s="10">
        <v>111</v>
      </c>
      <c r="B118" s="10" t="str">
        <f t="shared" si="3"/>
        <v>PKG-111</v>
      </c>
      <c r="C118" s="4"/>
      <c r="D118" s="26"/>
      <c r="E118" s="26"/>
      <c r="F118" s="5"/>
      <c r="G118" s="2"/>
      <c r="H118" s="3"/>
      <c r="I118" s="3"/>
      <c r="J118" s="3"/>
      <c r="K118" s="3"/>
      <c r="L118" s="35"/>
      <c r="M118" s="3"/>
      <c r="N118" s="35"/>
      <c r="O118" s="35"/>
      <c r="P118" s="27"/>
      <c r="Q118" s="27"/>
      <c r="R118" s="27"/>
    </row>
    <row r="119" spans="1:18" s="1" customFormat="1" ht="12" x14ac:dyDescent="0.2">
      <c r="A119" s="10">
        <v>112</v>
      </c>
      <c r="B119" s="10" t="str">
        <f t="shared" si="3"/>
        <v>PKG-112</v>
      </c>
      <c r="C119" s="4"/>
      <c r="D119" s="26"/>
      <c r="E119" s="26"/>
      <c r="F119" s="5"/>
      <c r="G119" s="2"/>
      <c r="H119" s="3"/>
      <c r="I119" s="3"/>
      <c r="J119" s="3"/>
      <c r="K119" s="3"/>
      <c r="L119" s="35"/>
      <c r="M119" s="3"/>
      <c r="N119" s="35"/>
      <c r="O119" s="35"/>
      <c r="P119" s="27"/>
      <c r="Q119" s="27"/>
      <c r="R119" s="27"/>
    </row>
    <row r="120" spans="1:18" s="1" customFormat="1" ht="12" x14ac:dyDescent="0.2">
      <c r="A120" s="10">
        <v>113</v>
      </c>
      <c r="B120" s="10" t="str">
        <f t="shared" si="3"/>
        <v>PKG-113</v>
      </c>
      <c r="C120" s="4"/>
      <c r="D120" s="26"/>
      <c r="E120" s="26"/>
      <c r="F120" s="5"/>
      <c r="G120" s="2"/>
      <c r="H120" s="3"/>
      <c r="I120" s="3"/>
      <c r="J120" s="3"/>
      <c r="K120" s="3"/>
      <c r="L120" s="35"/>
      <c r="M120" s="3"/>
      <c r="N120" s="35"/>
      <c r="O120" s="35"/>
      <c r="P120" s="27"/>
      <c r="Q120" s="27"/>
      <c r="R120" s="27"/>
    </row>
    <row r="121" spans="1:18" s="1" customFormat="1" ht="12" x14ac:dyDescent="0.2">
      <c r="A121" s="10">
        <v>114</v>
      </c>
      <c r="B121" s="10" t="str">
        <f t="shared" si="3"/>
        <v>PKG-114</v>
      </c>
      <c r="C121" s="4"/>
      <c r="D121" s="26"/>
      <c r="E121" s="26"/>
      <c r="F121" s="5"/>
      <c r="G121" s="2"/>
      <c r="H121" s="3"/>
      <c r="I121" s="3"/>
      <c r="J121" s="3"/>
      <c r="K121" s="3"/>
      <c r="L121" s="35"/>
      <c r="M121" s="3"/>
      <c r="N121" s="35"/>
      <c r="O121" s="35"/>
      <c r="P121" s="27"/>
      <c r="Q121" s="27"/>
      <c r="R121" s="27"/>
    </row>
    <row r="122" spans="1:18" s="1" customFormat="1" ht="12" x14ac:dyDescent="0.2">
      <c r="A122" s="10">
        <v>115</v>
      </c>
      <c r="B122" s="10" t="str">
        <f t="shared" si="3"/>
        <v>PKG-115</v>
      </c>
      <c r="C122" s="4"/>
      <c r="D122" s="26"/>
      <c r="E122" s="26"/>
      <c r="F122" s="5"/>
      <c r="G122" s="2"/>
      <c r="H122" s="3"/>
      <c r="I122" s="3"/>
      <c r="J122" s="3"/>
      <c r="K122" s="3"/>
      <c r="L122" s="35"/>
      <c r="M122" s="3"/>
      <c r="N122" s="35"/>
      <c r="O122" s="35"/>
      <c r="P122" s="27"/>
      <c r="Q122" s="27"/>
      <c r="R122" s="27"/>
    </row>
    <row r="123" spans="1:18" s="1" customFormat="1" ht="12" x14ac:dyDescent="0.2">
      <c r="A123" s="10">
        <v>116</v>
      </c>
      <c r="B123" s="10" t="str">
        <f t="shared" si="3"/>
        <v>PKG-116</v>
      </c>
      <c r="C123" s="4"/>
      <c r="D123" s="26"/>
      <c r="E123" s="26"/>
      <c r="F123" s="5"/>
      <c r="G123" s="2"/>
      <c r="H123" s="3"/>
      <c r="I123" s="3"/>
      <c r="J123" s="3"/>
      <c r="K123" s="3"/>
      <c r="L123" s="35"/>
      <c r="M123" s="3"/>
      <c r="N123" s="35"/>
      <c r="O123" s="35"/>
      <c r="P123" s="27"/>
      <c r="Q123" s="27"/>
      <c r="R123" s="27"/>
    </row>
    <row r="124" spans="1:18" s="1" customFormat="1" ht="12" x14ac:dyDescent="0.2">
      <c r="A124" s="10">
        <v>117</v>
      </c>
      <c r="B124" s="10" t="str">
        <f t="shared" si="3"/>
        <v>PKG-117</v>
      </c>
      <c r="C124" s="4"/>
      <c r="D124" s="26"/>
      <c r="E124" s="26"/>
      <c r="F124" s="5"/>
      <c r="G124" s="2"/>
      <c r="H124" s="3"/>
      <c r="I124" s="3"/>
      <c r="J124" s="3"/>
      <c r="K124" s="3"/>
      <c r="L124" s="35"/>
      <c r="M124" s="3"/>
      <c r="N124" s="35"/>
      <c r="O124" s="35"/>
      <c r="P124" s="27"/>
      <c r="Q124" s="27"/>
      <c r="R124" s="27"/>
    </row>
    <row r="125" spans="1:18" s="1" customFormat="1" ht="12" x14ac:dyDescent="0.2">
      <c r="A125" s="10">
        <v>118</v>
      </c>
      <c r="B125" s="10" t="str">
        <f t="shared" si="3"/>
        <v>PKG-118</v>
      </c>
      <c r="C125" s="4"/>
      <c r="D125" s="26"/>
      <c r="E125" s="26"/>
      <c r="F125" s="5"/>
      <c r="G125" s="2"/>
      <c r="H125" s="3"/>
      <c r="I125" s="3"/>
      <c r="J125" s="3"/>
      <c r="K125" s="3"/>
      <c r="L125" s="35"/>
      <c r="M125" s="3"/>
      <c r="N125" s="35"/>
      <c r="O125" s="35"/>
      <c r="P125" s="27"/>
      <c r="Q125" s="27"/>
      <c r="R125" s="27"/>
    </row>
    <row r="126" spans="1:18" s="1" customFormat="1" ht="12" x14ac:dyDescent="0.2">
      <c r="A126" s="10">
        <v>119</v>
      </c>
      <c r="B126" s="10" t="str">
        <f t="shared" si="3"/>
        <v>PKG-119</v>
      </c>
      <c r="C126" s="4"/>
      <c r="D126" s="26"/>
      <c r="E126" s="26"/>
      <c r="F126" s="5"/>
      <c r="G126" s="2"/>
      <c r="H126" s="3"/>
      <c r="I126" s="3"/>
      <c r="J126" s="3"/>
      <c r="K126" s="3"/>
      <c r="L126" s="35"/>
      <c r="M126" s="3"/>
      <c r="N126" s="35"/>
      <c r="O126" s="35"/>
      <c r="P126" s="27"/>
      <c r="Q126" s="27"/>
      <c r="R126" s="27"/>
    </row>
    <row r="127" spans="1:18" s="1" customFormat="1" ht="12" x14ac:dyDescent="0.2">
      <c r="A127" s="10">
        <v>120</v>
      </c>
      <c r="B127" s="10" t="str">
        <f t="shared" si="3"/>
        <v>PKG-120</v>
      </c>
      <c r="C127" s="4"/>
      <c r="D127" s="26"/>
      <c r="E127" s="26"/>
      <c r="F127" s="5"/>
      <c r="G127" s="2"/>
      <c r="H127" s="3"/>
      <c r="I127" s="3"/>
      <c r="J127" s="3"/>
      <c r="K127" s="3"/>
      <c r="L127" s="35"/>
      <c r="M127" s="3"/>
      <c r="N127" s="35"/>
      <c r="O127" s="35"/>
      <c r="P127" s="27"/>
      <c r="Q127" s="27"/>
      <c r="R127" s="27"/>
    </row>
    <row r="128" spans="1:18" s="1" customFormat="1" ht="12" x14ac:dyDescent="0.2">
      <c r="A128" s="10">
        <v>121</v>
      </c>
      <c r="B128" s="10" t="str">
        <f t="shared" si="3"/>
        <v>PKG-121</v>
      </c>
      <c r="C128" s="4"/>
      <c r="D128" s="26"/>
      <c r="E128" s="26"/>
      <c r="F128" s="5"/>
      <c r="G128" s="2"/>
      <c r="H128" s="3"/>
      <c r="I128" s="3"/>
      <c r="J128" s="3"/>
      <c r="K128" s="3"/>
      <c r="L128" s="35"/>
      <c r="M128" s="3"/>
      <c r="N128" s="35"/>
      <c r="O128" s="35"/>
      <c r="P128" s="27"/>
      <c r="Q128" s="27"/>
      <c r="R128" s="27"/>
    </row>
    <row r="129" spans="1:27" s="1" customFormat="1" ht="12" x14ac:dyDescent="0.2">
      <c r="A129" s="10">
        <v>122</v>
      </c>
      <c r="B129" s="10" t="str">
        <f t="shared" si="3"/>
        <v>PKG-122</v>
      </c>
      <c r="C129" s="4"/>
      <c r="D129" s="26"/>
      <c r="E129" s="26"/>
      <c r="F129" s="5"/>
      <c r="G129" s="2"/>
      <c r="H129" s="3"/>
      <c r="I129" s="3"/>
      <c r="J129" s="3"/>
      <c r="K129" s="3"/>
      <c r="L129" s="35"/>
      <c r="M129" s="3"/>
      <c r="N129" s="35"/>
      <c r="O129" s="35"/>
      <c r="P129" s="27"/>
      <c r="Q129" s="27"/>
      <c r="R129" s="27"/>
    </row>
    <row r="130" spans="1:27" s="1" customFormat="1" ht="12" x14ac:dyDescent="0.2">
      <c r="A130" s="10">
        <v>123</v>
      </c>
      <c r="B130" s="10" t="str">
        <f t="shared" si="3"/>
        <v>PKG-123</v>
      </c>
      <c r="C130" s="4"/>
      <c r="D130" s="26"/>
      <c r="E130" s="26"/>
      <c r="F130" s="5"/>
      <c r="G130" s="2"/>
      <c r="H130" s="3"/>
      <c r="I130" s="3"/>
      <c r="J130" s="3"/>
      <c r="K130" s="3"/>
      <c r="L130" s="35"/>
      <c r="M130" s="3"/>
      <c r="N130" s="35"/>
      <c r="O130" s="35"/>
      <c r="P130" s="27"/>
      <c r="Q130" s="27"/>
      <c r="R130" s="27"/>
    </row>
    <row r="131" spans="1:27" s="1" customFormat="1" ht="12" x14ac:dyDescent="0.2">
      <c r="A131" s="10">
        <v>124</v>
      </c>
      <c r="B131" s="10" t="str">
        <f t="shared" si="3"/>
        <v>PKG-124</v>
      </c>
      <c r="C131" s="4"/>
      <c r="D131" s="26"/>
      <c r="E131" s="26"/>
      <c r="F131" s="5"/>
      <c r="G131" s="2"/>
      <c r="H131" s="3"/>
      <c r="I131" s="3"/>
      <c r="J131" s="3"/>
      <c r="K131" s="3"/>
      <c r="L131" s="35"/>
      <c r="M131" s="3"/>
      <c r="N131" s="35"/>
      <c r="O131" s="35"/>
      <c r="P131" s="27"/>
      <c r="Q131" s="27"/>
      <c r="R131" s="27"/>
    </row>
    <row r="132" spans="1:27" s="1" customFormat="1" ht="12" x14ac:dyDescent="0.2">
      <c r="A132" s="10">
        <v>125</v>
      </c>
      <c r="B132" s="10" t="str">
        <f t="shared" si="3"/>
        <v>PKG-125</v>
      </c>
      <c r="C132" s="4"/>
      <c r="D132" s="26"/>
      <c r="E132" s="26"/>
      <c r="F132" s="5"/>
      <c r="G132" s="2"/>
      <c r="H132" s="3"/>
      <c r="I132" s="3"/>
      <c r="J132" s="3"/>
      <c r="K132" s="3"/>
      <c r="L132" s="35"/>
      <c r="M132" s="3"/>
      <c r="N132" s="35"/>
      <c r="O132" s="35"/>
      <c r="P132" s="27"/>
      <c r="Q132" s="27"/>
      <c r="R132" s="27"/>
    </row>
    <row r="133" spans="1:27" s="1" customFormat="1" ht="12" x14ac:dyDescent="0.2">
      <c r="A133" s="10">
        <v>126</v>
      </c>
      <c r="B133" s="10" t="str">
        <f t="shared" si="3"/>
        <v>PKG-126</v>
      </c>
      <c r="C133" s="4"/>
      <c r="D133" s="26"/>
      <c r="E133" s="26"/>
      <c r="F133" s="5"/>
      <c r="G133" s="2"/>
      <c r="H133" s="3"/>
      <c r="I133" s="3"/>
      <c r="J133" s="3"/>
      <c r="K133" s="3"/>
      <c r="L133" s="35"/>
      <c r="M133" s="3"/>
      <c r="N133" s="35"/>
      <c r="O133" s="35"/>
      <c r="P133" s="27"/>
      <c r="Q133" s="27"/>
      <c r="R133" s="27"/>
    </row>
    <row r="134" spans="1:27" s="1" customFormat="1" ht="12" x14ac:dyDescent="0.2">
      <c r="A134" s="10">
        <v>127</v>
      </c>
      <c r="B134" s="10" t="str">
        <f t="shared" si="3"/>
        <v>PKG-127</v>
      </c>
      <c r="C134" s="4"/>
      <c r="D134" s="26"/>
      <c r="E134" s="26"/>
      <c r="F134" s="5"/>
      <c r="G134" s="2"/>
      <c r="H134" s="3"/>
      <c r="I134" s="3"/>
      <c r="J134" s="3"/>
      <c r="K134" s="3"/>
      <c r="L134" s="35"/>
      <c r="M134" s="3"/>
      <c r="N134" s="35"/>
      <c r="O134" s="35"/>
      <c r="P134" s="27"/>
      <c r="Q134" s="27"/>
      <c r="R134" s="27"/>
    </row>
    <row r="135" spans="1:27" s="1" customFormat="1" ht="12" x14ac:dyDescent="0.2">
      <c r="A135" s="10">
        <v>128</v>
      </c>
      <c r="B135" s="10" t="str">
        <f t="shared" si="3"/>
        <v>PKG-128</v>
      </c>
      <c r="C135" s="4"/>
      <c r="D135" s="26"/>
      <c r="E135" s="26"/>
      <c r="F135" s="5"/>
      <c r="G135" s="2"/>
      <c r="H135" s="3"/>
      <c r="I135" s="3"/>
      <c r="J135" s="3"/>
      <c r="K135" s="3"/>
      <c r="L135" s="35"/>
      <c r="M135" s="3"/>
      <c r="N135" s="35"/>
      <c r="O135" s="35"/>
      <c r="P135" s="27"/>
      <c r="Q135" s="27"/>
      <c r="R135" s="27"/>
    </row>
    <row r="136" spans="1:27" s="1" customFormat="1" ht="12" x14ac:dyDescent="0.2">
      <c r="A136" s="10">
        <v>129</v>
      </c>
      <c r="B136" s="10" t="str">
        <f t="shared" ref="B136:B167" si="4">_xlfn.CONCAT("PKG-",A136)</f>
        <v>PKG-129</v>
      </c>
      <c r="C136" s="4"/>
      <c r="D136" s="26"/>
      <c r="E136" s="26"/>
      <c r="F136" s="5"/>
      <c r="G136" s="2"/>
      <c r="H136" s="3"/>
      <c r="I136" s="3"/>
      <c r="J136" s="3"/>
      <c r="K136" s="3"/>
      <c r="L136" s="35"/>
      <c r="M136" s="3"/>
      <c r="N136" s="35"/>
      <c r="O136" s="35"/>
      <c r="P136" s="27"/>
      <c r="Q136" s="27"/>
      <c r="R136" s="27"/>
    </row>
    <row r="137" spans="1:27" s="1" customFormat="1" x14ac:dyDescent="0.25">
      <c r="A137" s="10">
        <v>130</v>
      </c>
      <c r="B137" s="10" t="str">
        <f t="shared" si="4"/>
        <v>PKG-130</v>
      </c>
      <c r="C137" s="4"/>
      <c r="D137" s="26"/>
      <c r="E137" s="26"/>
      <c r="F137" s="5"/>
      <c r="G137" s="2"/>
      <c r="H137" s="3"/>
      <c r="I137" s="3"/>
      <c r="J137" s="3"/>
      <c r="K137" s="3"/>
      <c r="L137" s="35"/>
      <c r="M137" s="3"/>
      <c r="N137" s="35"/>
      <c r="O137" s="35"/>
      <c r="P137" s="27"/>
      <c r="Q137" s="27"/>
      <c r="R137" s="27"/>
      <c r="S137"/>
    </row>
    <row r="138" spans="1:27" s="1" customFormat="1" x14ac:dyDescent="0.25">
      <c r="A138" s="10">
        <v>131</v>
      </c>
      <c r="B138" s="10" t="str">
        <f t="shared" si="4"/>
        <v>PKG-131</v>
      </c>
      <c r="C138" s="4"/>
      <c r="D138" s="26"/>
      <c r="E138" s="26"/>
      <c r="F138" s="5"/>
      <c r="G138" s="2"/>
      <c r="H138" s="3"/>
      <c r="I138" s="3"/>
      <c r="J138" s="3"/>
      <c r="K138" s="3"/>
      <c r="L138" s="35"/>
      <c r="M138" s="3"/>
      <c r="N138" s="35"/>
      <c r="O138" s="35"/>
      <c r="P138" s="27"/>
      <c r="Q138" s="27"/>
      <c r="R138" s="27"/>
      <c r="S138"/>
    </row>
    <row r="139" spans="1:27" s="1" customFormat="1" x14ac:dyDescent="0.25">
      <c r="A139" s="10">
        <v>132</v>
      </c>
      <c r="B139" s="10" t="str">
        <f t="shared" si="4"/>
        <v>PKG-132</v>
      </c>
      <c r="C139" s="4"/>
      <c r="D139" s="26"/>
      <c r="E139" s="26"/>
      <c r="F139" s="5"/>
      <c r="G139" s="2"/>
      <c r="H139" s="3"/>
      <c r="I139" s="3"/>
      <c r="J139" s="3"/>
      <c r="K139" s="3"/>
      <c r="L139" s="35"/>
      <c r="M139" s="3"/>
      <c r="N139" s="35"/>
      <c r="O139" s="35"/>
      <c r="P139" s="27"/>
      <c r="Q139" s="27"/>
      <c r="R139" s="27"/>
      <c r="S139"/>
    </row>
    <row r="140" spans="1:27" s="1" customFormat="1" x14ac:dyDescent="0.25">
      <c r="A140" s="10">
        <v>133</v>
      </c>
      <c r="B140" s="10" t="str">
        <f t="shared" si="4"/>
        <v>PKG-133</v>
      </c>
      <c r="C140" s="4"/>
      <c r="D140" s="26"/>
      <c r="E140" s="26"/>
      <c r="F140" s="5"/>
      <c r="G140" s="2"/>
      <c r="H140" s="3"/>
      <c r="I140" s="3"/>
      <c r="J140" s="3"/>
      <c r="K140" s="3"/>
      <c r="L140" s="35"/>
      <c r="M140" s="3"/>
      <c r="N140" s="35"/>
      <c r="O140" s="35"/>
      <c r="P140" s="27"/>
      <c r="Q140" s="27"/>
      <c r="R140" s="27"/>
      <c r="S140"/>
    </row>
    <row r="141" spans="1:27" s="1" customFormat="1" x14ac:dyDescent="0.25">
      <c r="A141" s="10">
        <v>134</v>
      </c>
      <c r="B141" s="10" t="str">
        <f t="shared" si="4"/>
        <v>PKG-134</v>
      </c>
      <c r="C141" s="4"/>
      <c r="D141" s="26"/>
      <c r="E141" s="26"/>
      <c r="F141" s="5"/>
      <c r="G141" s="2"/>
      <c r="H141" s="3"/>
      <c r="I141" s="3"/>
      <c r="J141" s="3"/>
      <c r="K141" s="3"/>
      <c r="L141" s="35"/>
      <c r="M141" s="3"/>
      <c r="N141" s="35"/>
      <c r="O141" s="35"/>
      <c r="P141" s="27"/>
      <c r="Q141" s="27"/>
      <c r="R141" s="27"/>
      <c r="S141"/>
    </row>
    <row r="142" spans="1:27" s="1" customFormat="1" x14ac:dyDescent="0.25">
      <c r="A142" s="10">
        <v>135</v>
      </c>
      <c r="B142" s="10" t="str">
        <f t="shared" si="4"/>
        <v>PKG-135</v>
      </c>
      <c r="C142" s="4"/>
      <c r="D142" s="26"/>
      <c r="E142" s="26"/>
      <c r="F142" s="5"/>
      <c r="G142" s="2"/>
      <c r="H142" s="3"/>
      <c r="I142" s="3"/>
      <c r="J142" s="3"/>
      <c r="K142" s="3"/>
      <c r="L142" s="35"/>
      <c r="M142" s="3"/>
      <c r="N142" s="35"/>
      <c r="O142" s="35"/>
      <c r="P142" s="27"/>
      <c r="Q142" s="27"/>
      <c r="R142" s="27"/>
      <c r="S142"/>
    </row>
    <row r="143" spans="1:27" x14ac:dyDescent="0.25">
      <c r="A143" s="10">
        <v>136</v>
      </c>
      <c r="B143" s="10" t="str">
        <f t="shared" si="4"/>
        <v>PKG-136</v>
      </c>
      <c r="C143" s="4"/>
      <c r="D143" s="26"/>
      <c r="E143" s="26"/>
      <c r="F143" s="5"/>
      <c r="G143" s="2"/>
      <c r="H143" s="3"/>
      <c r="I143" s="3"/>
      <c r="J143" s="3"/>
      <c r="K143" s="3"/>
      <c r="L143" s="35"/>
      <c r="M143" s="3"/>
      <c r="N143" s="35"/>
      <c r="O143" s="35"/>
      <c r="P143" s="27"/>
      <c r="Q143" s="27"/>
      <c r="R143" s="27"/>
      <c r="T143" s="1"/>
      <c r="U143" s="1"/>
      <c r="V143" s="1"/>
      <c r="W143"/>
      <c r="Y143"/>
      <c r="AA143"/>
    </row>
    <row r="144" spans="1:27" x14ac:dyDescent="0.25">
      <c r="A144" s="10">
        <v>137</v>
      </c>
      <c r="B144" s="10" t="str">
        <f t="shared" si="4"/>
        <v>PKG-137</v>
      </c>
      <c r="C144" s="4"/>
      <c r="D144" s="26"/>
      <c r="E144" s="26"/>
      <c r="F144" s="5"/>
      <c r="G144" s="2"/>
      <c r="H144" s="3"/>
      <c r="I144" s="3"/>
      <c r="J144" s="3"/>
      <c r="K144" s="3"/>
      <c r="L144" s="35"/>
      <c r="M144" s="3"/>
      <c r="N144" s="35"/>
      <c r="O144" s="35"/>
      <c r="P144" s="27"/>
      <c r="Q144" s="27"/>
      <c r="R144" s="27"/>
      <c r="T144" s="1"/>
      <c r="U144" s="1"/>
      <c r="V144" s="1"/>
      <c r="W144"/>
      <c r="Y144"/>
      <c r="AA144"/>
    </row>
    <row r="145" spans="1:27" x14ac:dyDescent="0.25">
      <c r="A145" s="10">
        <v>138</v>
      </c>
      <c r="B145" s="10" t="str">
        <f t="shared" si="4"/>
        <v>PKG-138</v>
      </c>
      <c r="C145" s="4"/>
      <c r="D145" s="26"/>
      <c r="E145" s="26"/>
      <c r="F145" s="5"/>
      <c r="G145" s="2"/>
      <c r="H145" s="3"/>
      <c r="I145" s="3"/>
      <c r="J145" s="3"/>
      <c r="K145" s="3"/>
      <c r="L145" s="35"/>
      <c r="M145" s="3"/>
      <c r="N145" s="35"/>
      <c r="O145" s="35"/>
      <c r="P145" s="27"/>
      <c r="Q145" s="27"/>
      <c r="R145" s="27"/>
      <c r="V145"/>
      <c r="W145"/>
      <c r="Y145"/>
      <c r="AA145"/>
    </row>
    <row r="146" spans="1:27" x14ac:dyDescent="0.25">
      <c r="A146" s="10">
        <v>139</v>
      </c>
      <c r="B146" s="10" t="str">
        <f t="shared" si="4"/>
        <v>PKG-139</v>
      </c>
      <c r="C146" s="4"/>
      <c r="D146" s="26"/>
      <c r="E146" s="26"/>
      <c r="F146" s="5"/>
      <c r="G146" s="2"/>
      <c r="H146" s="3"/>
      <c r="I146" s="3"/>
      <c r="J146" s="3"/>
      <c r="K146" s="3"/>
      <c r="L146" s="35"/>
      <c r="M146" s="3"/>
      <c r="N146" s="35"/>
      <c r="O146" s="35"/>
      <c r="P146" s="27"/>
      <c r="Q146" s="27"/>
      <c r="R146" s="27"/>
      <c r="V146"/>
      <c r="W146"/>
      <c r="Y146"/>
      <c r="AA146"/>
    </row>
    <row r="147" spans="1:27" x14ac:dyDescent="0.25">
      <c r="A147" s="10">
        <v>140</v>
      </c>
      <c r="B147" s="10" t="str">
        <f t="shared" si="4"/>
        <v>PKG-140</v>
      </c>
      <c r="C147" s="4"/>
      <c r="D147" s="26"/>
      <c r="E147" s="26"/>
      <c r="F147" s="5"/>
      <c r="G147" s="2"/>
      <c r="H147" s="3"/>
      <c r="I147" s="3"/>
      <c r="J147" s="3"/>
      <c r="K147" s="3"/>
      <c r="L147" s="35"/>
      <c r="M147" s="3"/>
      <c r="N147" s="35"/>
      <c r="O147" s="35"/>
      <c r="P147" s="27"/>
      <c r="Q147" s="27"/>
      <c r="R147" s="27"/>
      <c r="V147"/>
      <c r="W147"/>
      <c r="Y147"/>
      <c r="AA147"/>
    </row>
    <row r="148" spans="1:27" x14ac:dyDescent="0.25">
      <c r="A148" s="10">
        <v>141</v>
      </c>
      <c r="B148" s="10" t="str">
        <f t="shared" si="4"/>
        <v>PKG-141</v>
      </c>
      <c r="C148" s="4"/>
      <c r="D148" s="26"/>
      <c r="E148" s="26"/>
      <c r="F148" s="5"/>
      <c r="G148" s="2"/>
      <c r="H148" s="3"/>
      <c r="I148" s="3"/>
      <c r="J148" s="3"/>
      <c r="K148" s="3"/>
      <c r="L148" s="35"/>
      <c r="M148" s="3"/>
      <c r="N148" s="35"/>
      <c r="O148" s="35"/>
      <c r="P148" s="27"/>
      <c r="Q148" s="27"/>
      <c r="R148" s="27"/>
      <c r="V148"/>
      <c r="W148"/>
      <c r="Y148"/>
      <c r="AA148"/>
    </row>
    <row r="149" spans="1:27" x14ac:dyDescent="0.25">
      <c r="A149" s="10">
        <v>142</v>
      </c>
      <c r="B149" s="10" t="str">
        <f t="shared" si="4"/>
        <v>PKG-142</v>
      </c>
      <c r="C149" s="4"/>
      <c r="D149" s="26"/>
      <c r="E149" s="26"/>
      <c r="F149" s="5"/>
      <c r="G149" s="2"/>
      <c r="H149" s="3"/>
      <c r="I149" s="3"/>
      <c r="J149" s="3"/>
      <c r="K149" s="3"/>
      <c r="L149" s="35"/>
      <c r="M149" s="3"/>
      <c r="N149" s="35"/>
      <c r="O149" s="35"/>
      <c r="P149" s="27"/>
      <c r="Q149" s="27"/>
      <c r="R149" s="27"/>
      <c r="V149"/>
      <c r="W149"/>
      <c r="Y149"/>
      <c r="AA149"/>
    </row>
    <row r="150" spans="1:27" x14ac:dyDescent="0.25">
      <c r="A150" s="10">
        <v>143</v>
      </c>
      <c r="B150" s="10" t="str">
        <f t="shared" si="4"/>
        <v>PKG-143</v>
      </c>
      <c r="C150" s="4"/>
      <c r="D150" s="26"/>
      <c r="E150" s="26"/>
      <c r="F150" s="5"/>
      <c r="G150" s="2"/>
      <c r="H150" s="3"/>
      <c r="I150" s="3"/>
      <c r="J150" s="3"/>
      <c r="K150" s="3"/>
      <c r="L150" s="35"/>
      <c r="M150" s="3"/>
      <c r="N150" s="35"/>
      <c r="O150" s="35"/>
      <c r="P150" s="27"/>
      <c r="Q150" s="27"/>
      <c r="R150" s="27"/>
      <c r="V150"/>
      <c r="W150"/>
      <c r="Y150"/>
      <c r="AA150"/>
    </row>
    <row r="151" spans="1:27" x14ac:dyDescent="0.25">
      <c r="A151" s="10">
        <v>144</v>
      </c>
      <c r="B151" s="10" t="str">
        <f t="shared" si="4"/>
        <v>PKG-144</v>
      </c>
      <c r="C151" s="4"/>
      <c r="D151" s="26"/>
      <c r="E151" s="26"/>
      <c r="F151" s="5"/>
      <c r="G151" s="2"/>
      <c r="H151" s="3"/>
      <c r="I151" s="3"/>
      <c r="J151" s="3"/>
      <c r="K151" s="3"/>
      <c r="L151" s="35"/>
      <c r="M151" s="3"/>
      <c r="N151" s="35"/>
      <c r="O151" s="35"/>
      <c r="P151" s="27"/>
      <c r="Q151" s="27"/>
      <c r="R151" s="27"/>
      <c r="V151"/>
      <c r="W151"/>
      <c r="Y151"/>
      <c r="AA151"/>
    </row>
    <row r="152" spans="1:27" x14ac:dyDescent="0.25">
      <c r="A152" s="10">
        <v>145</v>
      </c>
      <c r="B152" s="10" t="str">
        <f t="shared" si="4"/>
        <v>PKG-145</v>
      </c>
      <c r="C152" s="4"/>
      <c r="D152" s="26"/>
      <c r="E152" s="26"/>
      <c r="F152" s="5"/>
      <c r="G152" s="2"/>
      <c r="H152" s="3"/>
      <c r="I152" s="3"/>
      <c r="J152" s="3"/>
      <c r="K152" s="3"/>
      <c r="L152" s="35"/>
      <c r="M152" s="3"/>
      <c r="N152" s="35"/>
      <c r="O152" s="35"/>
      <c r="P152" s="27"/>
      <c r="Q152" s="27"/>
      <c r="R152" s="27"/>
      <c r="V152"/>
      <c r="W152"/>
      <c r="Y152"/>
      <c r="AA152"/>
    </row>
    <row r="153" spans="1:27" x14ac:dyDescent="0.25">
      <c r="A153" s="10">
        <v>146</v>
      </c>
      <c r="B153" s="10" t="str">
        <f t="shared" si="4"/>
        <v>PKG-146</v>
      </c>
      <c r="C153" s="4"/>
      <c r="D153" s="26"/>
      <c r="E153" s="26"/>
      <c r="F153" s="5"/>
      <c r="G153" s="2"/>
      <c r="H153" s="3"/>
      <c r="I153" s="3"/>
      <c r="J153" s="3"/>
      <c r="K153" s="3"/>
      <c r="L153" s="35"/>
      <c r="M153" s="3"/>
      <c r="N153" s="35"/>
      <c r="O153" s="35"/>
      <c r="P153" s="27"/>
      <c r="Q153" s="27"/>
      <c r="R153" s="27"/>
      <c r="V153"/>
      <c r="W153"/>
      <c r="Y153"/>
      <c r="AA153"/>
    </row>
    <row r="154" spans="1:27" x14ac:dyDescent="0.25">
      <c r="A154" s="10">
        <v>147</v>
      </c>
      <c r="B154" s="10" t="str">
        <f t="shared" si="4"/>
        <v>PKG-147</v>
      </c>
      <c r="C154" s="4"/>
      <c r="D154" s="26"/>
      <c r="E154" s="26"/>
      <c r="F154" s="5"/>
      <c r="G154" s="2"/>
      <c r="H154" s="3"/>
      <c r="I154" s="3"/>
      <c r="J154" s="3"/>
      <c r="K154" s="3"/>
      <c r="L154" s="35"/>
      <c r="M154" s="3"/>
      <c r="N154" s="35"/>
      <c r="O154" s="35"/>
      <c r="P154" s="27"/>
      <c r="Q154" s="27"/>
      <c r="R154" s="27"/>
      <c r="V154"/>
      <c r="W154"/>
      <c r="Y154"/>
      <c r="AA154"/>
    </row>
    <row r="155" spans="1:27" x14ac:dyDescent="0.25">
      <c r="A155" s="10">
        <v>148</v>
      </c>
      <c r="B155" s="10" t="str">
        <f t="shared" si="4"/>
        <v>PKG-148</v>
      </c>
      <c r="C155" s="4"/>
      <c r="D155" s="26"/>
      <c r="E155" s="26"/>
      <c r="F155" s="5"/>
      <c r="G155" s="2"/>
      <c r="H155" s="3"/>
      <c r="I155" s="3"/>
      <c r="J155" s="3"/>
      <c r="K155" s="3"/>
      <c r="L155" s="35"/>
      <c r="M155" s="3"/>
      <c r="N155" s="35"/>
      <c r="O155" s="35"/>
      <c r="P155" s="27"/>
      <c r="Q155" s="27"/>
      <c r="R155" s="27"/>
      <c r="V155"/>
      <c r="W155"/>
      <c r="Y155"/>
      <c r="AA155"/>
    </row>
    <row r="156" spans="1:27" x14ac:dyDescent="0.25">
      <c r="A156" s="10">
        <v>149</v>
      </c>
      <c r="B156" s="10" t="str">
        <f t="shared" si="4"/>
        <v>PKG-149</v>
      </c>
      <c r="C156" s="4"/>
      <c r="D156" s="26"/>
      <c r="E156" s="26"/>
      <c r="F156" s="5"/>
      <c r="G156" s="2"/>
      <c r="H156" s="3"/>
      <c r="I156" s="3"/>
      <c r="J156" s="3"/>
      <c r="K156" s="3"/>
      <c r="L156" s="35"/>
      <c r="M156" s="3"/>
      <c r="N156" s="35"/>
      <c r="O156" s="35"/>
      <c r="P156" s="27"/>
      <c r="Q156" s="27"/>
      <c r="R156" s="27"/>
      <c r="V156"/>
      <c r="W156"/>
      <c r="Y156"/>
      <c r="AA156"/>
    </row>
    <row r="157" spans="1:27" x14ac:dyDescent="0.25">
      <c r="A157" s="10">
        <v>150</v>
      </c>
      <c r="B157" s="10" t="str">
        <f t="shared" si="4"/>
        <v>PKG-150</v>
      </c>
      <c r="C157" s="4"/>
      <c r="D157" s="26"/>
      <c r="E157" s="26"/>
      <c r="F157" s="5"/>
      <c r="G157" s="2"/>
      <c r="H157" s="3"/>
      <c r="I157" s="3"/>
      <c r="J157" s="3"/>
      <c r="K157" s="3"/>
      <c r="L157" s="35"/>
      <c r="M157" s="3"/>
      <c r="N157" s="35"/>
      <c r="O157" s="35"/>
      <c r="P157" s="27"/>
      <c r="Q157" s="27"/>
      <c r="R157" s="27"/>
      <c r="V157"/>
      <c r="W157"/>
      <c r="Y157"/>
      <c r="AA157"/>
    </row>
    <row r="158" spans="1:27" x14ac:dyDescent="0.25">
      <c r="A158" s="10">
        <v>151</v>
      </c>
      <c r="B158" s="10" t="str">
        <f t="shared" si="4"/>
        <v>PKG-151</v>
      </c>
      <c r="C158" s="4"/>
      <c r="D158" s="26"/>
      <c r="E158" s="26"/>
      <c r="F158" s="5"/>
      <c r="G158" s="2"/>
      <c r="H158" s="3"/>
      <c r="I158" s="3"/>
      <c r="J158" s="3"/>
      <c r="K158" s="3"/>
      <c r="L158" s="35"/>
      <c r="M158" s="3"/>
      <c r="N158" s="35"/>
      <c r="O158" s="35"/>
      <c r="P158" s="27"/>
      <c r="Q158" s="27"/>
      <c r="R158" s="27"/>
      <c r="V158"/>
      <c r="W158"/>
      <c r="Y158"/>
      <c r="AA158"/>
    </row>
    <row r="159" spans="1:27" x14ac:dyDescent="0.25">
      <c r="A159" s="10">
        <v>152</v>
      </c>
      <c r="B159" s="10" t="str">
        <f t="shared" si="4"/>
        <v>PKG-152</v>
      </c>
      <c r="C159" s="4"/>
      <c r="D159" s="26"/>
      <c r="E159" s="26"/>
      <c r="F159" s="5"/>
      <c r="G159" s="2"/>
      <c r="H159" s="3"/>
      <c r="I159" s="3"/>
      <c r="J159" s="3"/>
      <c r="K159" s="3"/>
      <c r="L159" s="35"/>
      <c r="M159" s="3"/>
      <c r="N159" s="35"/>
      <c r="O159" s="35"/>
      <c r="P159" s="27"/>
      <c r="Q159" s="27"/>
      <c r="R159" s="27"/>
      <c r="V159"/>
      <c r="W159"/>
      <c r="Y159"/>
      <c r="AA159"/>
    </row>
    <row r="160" spans="1:27" x14ac:dyDescent="0.25">
      <c r="A160" s="10">
        <v>153</v>
      </c>
      <c r="B160" s="10" t="str">
        <f t="shared" si="4"/>
        <v>PKG-153</v>
      </c>
      <c r="C160" s="4"/>
      <c r="D160" s="26"/>
      <c r="E160" s="26"/>
      <c r="F160" s="5"/>
      <c r="G160" s="2"/>
      <c r="H160" s="3"/>
      <c r="I160" s="3"/>
      <c r="J160" s="3"/>
      <c r="K160" s="3"/>
      <c r="L160" s="35"/>
      <c r="M160" s="3"/>
      <c r="N160" s="35"/>
      <c r="O160" s="35"/>
      <c r="P160" s="27"/>
      <c r="Q160" s="27"/>
      <c r="R160" s="27"/>
      <c r="V160"/>
      <c r="W160"/>
      <c r="Y160"/>
      <c r="AA160"/>
    </row>
    <row r="161" spans="1:27" x14ac:dyDescent="0.25">
      <c r="A161" s="10">
        <v>154</v>
      </c>
      <c r="B161" s="10" t="str">
        <f t="shared" si="4"/>
        <v>PKG-154</v>
      </c>
      <c r="C161" s="4"/>
      <c r="D161" s="26"/>
      <c r="E161" s="26"/>
      <c r="F161" s="5"/>
      <c r="G161" s="2"/>
      <c r="H161" s="3"/>
      <c r="I161" s="3"/>
      <c r="J161" s="3"/>
      <c r="K161" s="3"/>
      <c r="L161" s="35"/>
      <c r="M161" s="3"/>
      <c r="N161" s="35"/>
      <c r="O161" s="35"/>
      <c r="P161" s="27"/>
      <c r="Q161" s="27"/>
      <c r="R161" s="27"/>
      <c r="V161"/>
      <c r="W161"/>
      <c r="Y161"/>
      <c r="AA161"/>
    </row>
    <row r="162" spans="1:27" x14ac:dyDescent="0.25">
      <c r="A162" s="10">
        <v>155</v>
      </c>
      <c r="B162" s="10" t="str">
        <f t="shared" si="4"/>
        <v>PKG-155</v>
      </c>
      <c r="C162" s="4"/>
      <c r="D162" s="26"/>
      <c r="E162" s="26"/>
      <c r="F162" s="5"/>
      <c r="G162" s="2"/>
      <c r="H162" s="3"/>
      <c r="I162" s="3"/>
      <c r="J162" s="3"/>
      <c r="K162" s="3"/>
      <c r="L162" s="35"/>
      <c r="M162" s="3"/>
      <c r="N162" s="35"/>
      <c r="O162" s="35"/>
      <c r="P162" s="27"/>
      <c r="Q162" s="27"/>
      <c r="R162" s="27"/>
      <c r="V162"/>
      <c r="W162"/>
      <c r="Y162"/>
      <c r="AA162"/>
    </row>
    <row r="163" spans="1:27" x14ac:dyDescent="0.25">
      <c r="A163" s="10">
        <v>156</v>
      </c>
      <c r="B163" s="10" t="str">
        <f t="shared" si="4"/>
        <v>PKG-156</v>
      </c>
      <c r="C163" s="4"/>
      <c r="D163" s="26"/>
      <c r="E163" s="26"/>
      <c r="F163" s="5"/>
      <c r="G163" s="2"/>
      <c r="H163" s="3"/>
      <c r="I163" s="3"/>
      <c r="J163" s="3"/>
      <c r="K163" s="3"/>
      <c r="L163" s="35"/>
      <c r="M163" s="3"/>
      <c r="N163" s="35"/>
      <c r="O163" s="35"/>
      <c r="P163" s="27"/>
      <c r="Q163" s="27"/>
      <c r="R163" s="27"/>
      <c r="V163"/>
      <c r="W163"/>
      <c r="Y163"/>
      <c r="AA163"/>
    </row>
    <row r="164" spans="1:27" x14ac:dyDescent="0.25">
      <c r="A164" s="10">
        <v>157</v>
      </c>
      <c r="B164" s="10" t="str">
        <f t="shared" si="4"/>
        <v>PKG-157</v>
      </c>
      <c r="C164" s="4"/>
      <c r="D164" s="26"/>
      <c r="E164" s="26"/>
      <c r="F164" s="5"/>
      <c r="G164" s="2"/>
      <c r="H164" s="3"/>
      <c r="I164" s="3"/>
      <c r="J164" s="3"/>
      <c r="K164" s="3"/>
      <c r="L164" s="35"/>
      <c r="M164" s="3"/>
      <c r="N164" s="35"/>
      <c r="O164" s="35"/>
      <c r="P164" s="27"/>
      <c r="Q164" s="27"/>
      <c r="R164" s="27"/>
      <c r="V164"/>
      <c r="W164"/>
      <c r="Y164"/>
      <c r="AA164"/>
    </row>
    <row r="165" spans="1:27" x14ac:dyDescent="0.25">
      <c r="A165" s="10">
        <v>158</v>
      </c>
      <c r="B165" s="10" t="str">
        <f t="shared" si="4"/>
        <v>PKG-158</v>
      </c>
      <c r="C165" s="4"/>
      <c r="D165" s="26"/>
      <c r="E165" s="26"/>
      <c r="F165" s="5"/>
      <c r="G165" s="2"/>
      <c r="H165" s="3"/>
      <c r="I165" s="3"/>
      <c r="J165" s="3"/>
      <c r="K165" s="3"/>
      <c r="L165" s="35"/>
      <c r="M165" s="3"/>
      <c r="N165" s="35"/>
      <c r="O165" s="35"/>
      <c r="P165" s="27"/>
      <c r="Q165" s="27"/>
      <c r="R165" s="27"/>
      <c r="V165"/>
      <c r="W165"/>
      <c r="Y165"/>
      <c r="AA165"/>
    </row>
    <row r="166" spans="1:27" x14ac:dyDescent="0.25">
      <c r="A166" s="10">
        <v>159</v>
      </c>
      <c r="B166" s="10" t="str">
        <f t="shared" si="4"/>
        <v>PKG-159</v>
      </c>
      <c r="C166" s="4"/>
      <c r="D166" s="26"/>
      <c r="E166" s="26"/>
      <c r="F166" s="5"/>
      <c r="G166" s="2"/>
      <c r="H166" s="3"/>
      <c r="I166" s="3"/>
      <c r="J166" s="3"/>
      <c r="K166" s="3"/>
      <c r="L166" s="35"/>
      <c r="M166" s="3"/>
      <c r="N166" s="35"/>
      <c r="O166" s="35"/>
      <c r="Q166" s="27"/>
      <c r="R166" s="27"/>
      <c r="V166"/>
    </row>
    <row r="167" spans="1:27" x14ac:dyDescent="0.25">
      <c r="A167" s="10">
        <v>160</v>
      </c>
      <c r="B167" s="10" t="str">
        <f t="shared" si="4"/>
        <v>PKG-160</v>
      </c>
      <c r="C167" s="4"/>
      <c r="D167" s="26"/>
      <c r="E167" s="26"/>
      <c r="F167" s="5"/>
      <c r="G167" s="2"/>
      <c r="H167" s="3"/>
      <c r="I167" s="3"/>
      <c r="J167" s="3"/>
      <c r="K167" s="3"/>
      <c r="L167" s="35"/>
      <c r="M167" s="3"/>
      <c r="N167" s="35"/>
      <c r="O167" s="35"/>
    </row>
    <row r="168" spans="1:27" x14ac:dyDescent="0.25">
      <c r="A168" s="10">
        <v>161</v>
      </c>
      <c r="B168" s="10" t="str">
        <f t="shared" ref="B168:B199" si="5">_xlfn.CONCAT("PKG-",A168)</f>
        <v>PKG-161</v>
      </c>
      <c r="C168" s="4"/>
      <c r="D168" s="26"/>
      <c r="E168" s="26"/>
      <c r="F168" s="5"/>
      <c r="G168" s="2"/>
      <c r="H168" s="3"/>
      <c r="I168" s="3"/>
      <c r="J168" s="3"/>
      <c r="K168" s="3"/>
      <c r="L168" s="35"/>
      <c r="M168" s="3"/>
      <c r="N168" s="35"/>
      <c r="O168" s="35"/>
    </row>
    <row r="169" spans="1:27" x14ac:dyDescent="0.25">
      <c r="A169" s="10">
        <v>162</v>
      </c>
      <c r="B169" s="10" t="str">
        <f t="shared" si="5"/>
        <v>PKG-162</v>
      </c>
      <c r="C169" s="4"/>
      <c r="D169" s="26"/>
      <c r="E169" s="26"/>
      <c r="F169" s="5"/>
      <c r="G169" s="2"/>
      <c r="H169" s="3"/>
      <c r="I169" s="3"/>
      <c r="J169" s="3"/>
      <c r="K169" s="3"/>
      <c r="L169" s="35"/>
      <c r="M169" s="3"/>
      <c r="N169" s="35"/>
      <c r="O169" s="35"/>
    </row>
    <row r="170" spans="1:27" x14ac:dyDescent="0.25">
      <c r="A170" s="10">
        <v>163</v>
      </c>
      <c r="B170" s="10" t="str">
        <f t="shared" si="5"/>
        <v>PKG-163</v>
      </c>
      <c r="C170" s="4"/>
      <c r="D170" s="26"/>
      <c r="E170" s="26"/>
      <c r="F170" s="5"/>
      <c r="G170" s="2"/>
      <c r="H170" s="3"/>
      <c r="I170" s="3"/>
      <c r="J170" s="3"/>
      <c r="K170" s="3"/>
      <c r="L170" s="35"/>
      <c r="M170" s="3"/>
      <c r="N170" s="35"/>
      <c r="O170" s="35"/>
    </row>
    <row r="171" spans="1:27" x14ac:dyDescent="0.25">
      <c r="A171" s="10">
        <v>164</v>
      </c>
      <c r="B171" s="10" t="str">
        <f t="shared" si="5"/>
        <v>PKG-164</v>
      </c>
      <c r="C171" s="4"/>
      <c r="D171" s="26"/>
      <c r="E171" s="26"/>
      <c r="F171" s="5"/>
      <c r="G171" s="2"/>
      <c r="H171" s="3"/>
      <c r="I171" s="3"/>
      <c r="J171" s="3"/>
      <c r="K171" s="3"/>
      <c r="L171" s="35"/>
      <c r="M171" s="3"/>
      <c r="N171" s="35"/>
      <c r="O171" s="35"/>
    </row>
    <row r="172" spans="1:27" x14ac:dyDescent="0.25">
      <c r="A172" s="10">
        <v>165</v>
      </c>
      <c r="B172" s="10" t="str">
        <f t="shared" si="5"/>
        <v>PKG-165</v>
      </c>
      <c r="C172" s="4"/>
      <c r="D172" s="26"/>
      <c r="E172" s="26"/>
      <c r="F172" s="5"/>
      <c r="G172" s="2"/>
      <c r="H172" s="3"/>
      <c r="I172" s="3"/>
      <c r="J172" s="3"/>
      <c r="K172" s="3"/>
      <c r="L172" s="35"/>
      <c r="M172" s="3"/>
      <c r="N172" s="35"/>
      <c r="O172" s="35"/>
    </row>
    <row r="173" spans="1:27" x14ac:dyDescent="0.25">
      <c r="A173" s="10">
        <v>166</v>
      </c>
      <c r="B173" s="10" t="str">
        <f t="shared" si="5"/>
        <v>PKG-166</v>
      </c>
      <c r="C173" s="4"/>
      <c r="D173" s="26"/>
      <c r="E173" s="26"/>
      <c r="F173" s="5"/>
      <c r="G173" s="2"/>
      <c r="H173" s="3"/>
      <c r="I173" s="3"/>
      <c r="J173" s="3"/>
      <c r="K173" s="3"/>
      <c r="L173" s="35"/>
      <c r="M173" s="3"/>
      <c r="N173" s="35"/>
      <c r="O173" s="35"/>
    </row>
    <row r="174" spans="1:27" x14ac:dyDescent="0.25">
      <c r="A174" s="10">
        <v>167</v>
      </c>
      <c r="B174" s="10" t="str">
        <f t="shared" si="5"/>
        <v>PKG-167</v>
      </c>
      <c r="C174" s="4"/>
      <c r="D174" s="26"/>
      <c r="E174" s="26"/>
      <c r="F174" s="5"/>
      <c r="G174" s="2"/>
      <c r="H174" s="3"/>
      <c r="I174" s="3"/>
      <c r="J174" s="3"/>
      <c r="K174" s="3"/>
      <c r="L174" s="35"/>
      <c r="M174" s="3"/>
      <c r="N174" s="35"/>
      <c r="O174" s="35"/>
    </row>
    <row r="175" spans="1:27" x14ac:dyDescent="0.25">
      <c r="A175" s="10">
        <v>168</v>
      </c>
      <c r="B175" s="10" t="str">
        <f t="shared" si="5"/>
        <v>PKG-168</v>
      </c>
      <c r="C175" s="4"/>
      <c r="D175" s="26"/>
      <c r="E175" s="26"/>
      <c r="F175" s="5"/>
      <c r="G175" s="2"/>
      <c r="H175" s="3"/>
      <c r="I175" s="3"/>
      <c r="J175" s="3"/>
      <c r="K175" s="3"/>
      <c r="L175" s="35"/>
      <c r="M175" s="3"/>
      <c r="N175" s="35"/>
      <c r="O175" s="35"/>
    </row>
    <row r="176" spans="1:27" x14ac:dyDescent="0.25">
      <c r="A176" s="10">
        <v>169</v>
      </c>
      <c r="B176" s="10" t="str">
        <f t="shared" si="5"/>
        <v>PKG-169</v>
      </c>
      <c r="C176" s="4"/>
      <c r="D176" s="26"/>
      <c r="E176" s="26"/>
      <c r="F176" s="5"/>
      <c r="G176" s="2"/>
      <c r="H176" s="3"/>
      <c r="I176" s="3"/>
      <c r="J176" s="3"/>
      <c r="K176" s="3"/>
      <c r="L176" s="35"/>
      <c r="M176" s="3"/>
      <c r="N176" s="35"/>
      <c r="O176" s="35"/>
    </row>
    <row r="177" spans="1:15" x14ac:dyDescent="0.25">
      <c r="A177" s="10">
        <v>170</v>
      </c>
      <c r="B177" s="10" t="str">
        <f t="shared" si="5"/>
        <v>PKG-170</v>
      </c>
      <c r="C177" s="4"/>
      <c r="D177" s="26"/>
      <c r="E177" s="26"/>
      <c r="F177" s="5"/>
      <c r="G177" s="2"/>
      <c r="H177" s="3"/>
      <c r="I177" s="3"/>
      <c r="J177" s="3"/>
      <c r="K177" s="3"/>
      <c r="L177" s="35"/>
      <c r="M177" s="3"/>
      <c r="N177" s="35"/>
      <c r="O177" s="35"/>
    </row>
    <row r="178" spans="1:15" x14ac:dyDescent="0.25">
      <c r="A178" s="10">
        <v>171</v>
      </c>
      <c r="B178" s="10" t="str">
        <f t="shared" si="5"/>
        <v>PKG-171</v>
      </c>
      <c r="C178" s="4"/>
      <c r="D178" s="26"/>
      <c r="E178" s="26"/>
      <c r="F178" s="5"/>
      <c r="G178" s="2"/>
      <c r="H178" s="3"/>
      <c r="I178" s="3"/>
      <c r="J178" s="3"/>
      <c r="K178" s="3"/>
      <c r="L178" s="35"/>
      <c r="M178" s="3"/>
      <c r="N178" s="35"/>
      <c r="O178" s="35"/>
    </row>
    <row r="179" spans="1:15" x14ac:dyDescent="0.25">
      <c r="A179" s="10">
        <v>172</v>
      </c>
      <c r="B179" s="10" t="str">
        <f t="shared" si="5"/>
        <v>PKG-172</v>
      </c>
      <c r="C179" s="4"/>
      <c r="D179" s="26"/>
      <c r="E179" s="26"/>
      <c r="F179" s="5"/>
      <c r="G179" s="2"/>
      <c r="H179" s="3"/>
      <c r="I179" s="3"/>
      <c r="J179" s="3"/>
      <c r="K179" s="3"/>
      <c r="L179" s="35"/>
      <c r="M179" s="3"/>
      <c r="N179" s="35"/>
      <c r="O179" s="35"/>
    </row>
    <row r="180" spans="1:15" x14ac:dyDescent="0.25">
      <c r="A180" s="10">
        <v>173</v>
      </c>
      <c r="B180" s="10" t="str">
        <f t="shared" si="5"/>
        <v>PKG-173</v>
      </c>
      <c r="C180" s="4"/>
      <c r="D180" s="26"/>
      <c r="E180" s="26"/>
      <c r="F180" s="5"/>
      <c r="G180" s="2"/>
      <c r="H180" s="3"/>
      <c r="I180" s="3"/>
      <c r="J180" s="3"/>
      <c r="K180" s="3"/>
      <c r="L180" s="35"/>
      <c r="M180" s="3"/>
      <c r="N180" s="35"/>
      <c r="O180" s="35"/>
    </row>
    <row r="181" spans="1:15" x14ac:dyDescent="0.25">
      <c r="A181" s="10">
        <v>174</v>
      </c>
      <c r="B181" s="10" t="str">
        <f t="shared" si="5"/>
        <v>PKG-174</v>
      </c>
      <c r="C181" s="4"/>
      <c r="D181" s="26"/>
      <c r="E181" s="26"/>
      <c r="F181" s="5"/>
      <c r="G181" s="2"/>
      <c r="H181" s="3"/>
      <c r="I181" s="3"/>
      <c r="J181" s="3"/>
      <c r="K181" s="3"/>
      <c r="L181" s="35"/>
      <c r="M181" s="3"/>
      <c r="N181" s="35"/>
      <c r="O181" s="35"/>
    </row>
    <row r="182" spans="1:15" x14ac:dyDescent="0.25">
      <c r="A182" s="10">
        <v>175</v>
      </c>
      <c r="B182" s="10" t="str">
        <f t="shared" si="5"/>
        <v>PKG-175</v>
      </c>
      <c r="C182" s="4"/>
      <c r="D182" s="26"/>
      <c r="E182" s="26"/>
      <c r="F182" s="5"/>
      <c r="G182" s="2"/>
      <c r="H182" s="3"/>
      <c r="I182" s="3"/>
      <c r="J182" s="3"/>
      <c r="K182" s="3"/>
      <c r="L182" s="35"/>
      <c r="M182" s="3"/>
      <c r="N182" s="35"/>
      <c r="O182" s="35"/>
    </row>
    <row r="183" spans="1:15" x14ac:dyDescent="0.25">
      <c r="A183" s="10">
        <v>176</v>
      </c>
      <c r="B183" s="10" t="str">
        <f t="shared" si="5"/>
        <v>PKG-176</v>
      </c>
      <c r="C183" s="4"/>
      <c r="D183" s="26"/>
      <c r="E183" s="26"/>
      <c r="F183" s="5"/>
      <c r="G183" s="2"/>
      <c r="H183" s="3"/>
      <c r="I183" s="3"/>
      <c r="J183" s="3"/>
      <c r="K183" s="3"/>
      <c r="L183" s="35"/>
      <c r="M183" s="3"/>
      <c r="N183" s="35"/>
      <c r="O183" s="35"/>
    </row>
    <row r="184" spans="1:15" x14ac:dyDescent="0.25">
      <c r="A184" s="10">
        <v>177</v>
      </c>
      <c r="B184" s="10" t="str">
        <f t="shared" si="5"/>
        <v>PKG-177</v>
      </c>
      <c r="C184" s="4"/>
      <c r="D184" s="26"/>
      <c r="E184" s="26"/>
      <c r="F184" s="5"/>
      <c r="G184" s="2"/>
      <c r="H184" s="3"/>
      <c r="I184" s="3"/>
      <c r="J184" s="3"/>
      <c r="K184" s="3"/>
      <c r="L184" s="35"/>
      <c r="M184" s="3"/>
      <c r="N184" s="35"/>
      <c r="O184" s="35"/>
    </row>
    <row r="185" spans="1:15" x14ac:dyDescent="0.25">
      <c r="A185" s="10">
        <v>178</v>
      </c>
      <c r="B185" s="10" t="str">
        <f t="shared" si="5"/>
        <v>PKG-178</v>
      </c>
      <c r="C185" s="4"/>
      <c r="D185" s="26"/>
      <c r="E185" s="26"/>
      <c r="F185" s="5"/>
      <c r="G185" s="2"/>
      <c r="H185" s="3"/>
      <c r="I185" s="3"/>
      <c r="J185" s="3"/>
      <c r="K185" s="3"/>
      <c r="L185" s="35"/>
      <c r="M185" s="3"/>
      <c r="N185" s="35"/>
      <c r="O185" s="35"/>
    </row>
    <row r="186" spans="1:15" x14ac:dyDescent="0.25">
      <c r="A186" s="10">
        <v>179</v>
      </c>
      <c r="B186" s="10" t="str">
        <f t="shared" si="5"/>
        <v>PKG-179</v>
      </c>
      <c r="C186" s="4"/>
      <c r="D186" s="26"/>
      <c r="E186" s="26"/>
      <c r="F186" s="5"/>
      <c r="G186" s="2"/>
      <c r="H186" s="3"/>
      <c r="I186" s="3"/>
      <c r="J186" s="3"/>
      <c r="K186" s="3"/>
      <c r="L186" s="35"/>
      <c r="M186" s="3"/>
      <c r="N186" s="35"/>
      <c r="O186" s="35"/>
    </row>
    <row r="187" spans="1:15" x14ac:dyDescent="0.25">
      <c r="A187" s="10">
        <v>180</v>
      </c>
      <c r="B187" s="10" t="str">
        <f t="shared" si="5"/>
        <v>PKG-180</v>
      </c>
      <c r="C187" s="4"/>
      <c r="D187" s="26"/>
      <c r="E187" s="26"/>
      <c r="F187" s="5"/>
      <c r="G187" s="2"/>
      <c r="H187" s="3"/>
      <c r="I187" s="3"/>
      <c r="J187" s="3"/>
      <c r="K187" s="3"/>
      <c r="L187" s="35"/>
      <c r="M187" s="3"/>
      <c r="N187" s="35"/>
      <c r="O187" s="35"/>
    </row>
    <row r="188" spans="1:15" x14ac:dyDescent="0.25">
      <c r="A188" s="10">
        <v>181</v>
      </c>
      <c r="B188" s="10" t="str">
        <f t="shared" si="5"/>
        <v>PKG-181</v>
      </c>
      <c r="C188" s="4"/>
      <c r="D188" s="26"/>
      <c r="E188" s="26"/>
      <c r="F188" s="5"/>
      <c r="G188" s="2"/>
      <c r="H188" s="3"/>
      <c r="I188" s="3"/>
      <c r="J188" s="3"/>
      <c r="K188" s="3"/>
      <c r="L188" s="35"/>
      <c r="M188" s="3"/>
      <c r="N188" s="35"/>
      <c r="O188" s="35"/>
    </row>
    <row r="189" spans="1:15" x14ac:dyDescent="0.25">
      <c r="A189" s="10">
        <v>182</v>
      </c>
      <c r="B189" s="10" t="str">
        <f t="shared" si="5"/>
        <v>PKG-182</v>
      </c>
      <c r="C189" s="4"/>
      <c r="D189" s="26"/>
      <c r="E189" s="26"/>
      <c r="F189" s="5"/>
      <c r="G189" s="2"/>
      <c r="H189" s="3"/>
      <c r="I189" s="3"/>
      <c r="J189" s="3"/>
      <c r="K189" s="3"/>
      <c r="L189" s="35"/>
      <c r="M189" s="3"/>
      <c r="N189" s="35"/>
      <c r="O189" s="35"/>
    </row>
    <row r="190" spans="1:15" x14ac:dyDescent="0.25">
      <c r="A190" s="10">
        <v>183</v>
      </c>
      <c r="B190" s="10" t="str">
        <f t="shared" si="5"/>
        <v>PKG-183</v>
      </c>
      <c r="C190" s="4"/>
      <c r="D190" s="26"/>
      <c r="E190" s="26"/>
      <c r="F190" s="5"/>
      <c r="G190" s="2"/>
      <c r="H190" s="3"/>
      <c r="I190" s="3"/>
      <c r="J190" s="3"/>
      <c r="K190" s="3"/>
      <c r="L190" s="35"/>
      <c r="M190" s="3"/>
      <c r="N190" s="35"/>
      <c r="O190" s="35"/>
    </row>
    <row r="191" spans="1:15" x14ac:dyDescent="0.25">
      <c r="A191" s="10">
        <v>184</v>
      </c>
      <c r="B191" s="10" t="str">
        <f t="shared" si="5"/>
        <v>PKG-184</v>
      </c>
      <c r="C191" s="4"/>
      <c r="D191" s="26"/>
      <c r="E191" s="26"/>
      <c r="F191" s="5"/>
      <c r="G191" s="2"/>
      <c r="H191" s="3"/>
      <c r="I191" s="3"/>
      <c r="J191" s="3"/>
      <c r="K191" s="3"/>
      <c r="L191" s="35"/>
      <c r="M191" s="3"/>
      <c r="N191" s="35"/>
      <c r="O191" s="35"/>
    </row>
    <row r="192" spans="1:15" x14ac:dyDescent="0.25">
      <c r="A192" s="10">
        <v>185</v>
      </c>
      <c r="B192" s="10" t="str">
        <f t="shared" si="5"/>
        <v>PKG-185</v>
      </c>
      <c r="C192" s="4"/>
      <c r="D192" s="26"/>
      <c r="E192" s="26"/>
      <c r="F192" s="5"/>
      <c r="G192" s="2"/>
      <c r="H192" s="3"/>
      <c r="I192" s="3"/>
      <c r="J192" s="3"/>
      <c r="K192" s="3"/>
      <c r="L192" s="35"/>
      <c r="M192" s="3"/>
      <c r="N192" s="35"/>
      <c r="O192" s="35"/>
    </row>
    <row r="193" spans="1:15" x14ac:dyDescent="0.25">
      <c r="A193" s="10">
        <v>186</v>
      </c>
      <c r="B193" s="10" t="str">
        <f t="shared" si="5"/>
        <v>PKG-186</v>
      </c>
      <c r="C193" s="4"/>
      <c r="D193" s="26"/>
      <c r="E193" s="26"/>
      <c r="F193" s="5"/>
      <c r="G193" s="2"/>
      <c r="H193" s="3"/>
      <c r="I193" s="3"/>
      <c r="J193" s="3"/>
      <c r="K193" s="3"/>
      <c r="L193" s="35"/>
      <c r="M193" s="3"/>
      <c r="N193" s="35"/>
      <c r="O193" s="35"/>
    </row>
    <row r="194" spans="1:15" x14ac:dyDescent="0.25">
      <c r="A194" s="10">
        <v>187</v>
      </c>
      <c r="B194" s="10" t="str">
        <f t="shared" si="5"/>
        <v>PKG-187</v>
      </c>
      <c r="C194" s="4"/>
      <c r="D194" s="26"/>
      <c r="E194" s="26"/>
      <c r="F194" s="5"/>
      <c r="G194" s="2"/>
      <c r="H194" s="3"/>
      <c r="I194" s="3"/>
      <c r="J194" s="3"/>
      <c r="K194" s="3"/>
      <c r="L194" s="35"/>
      <c r="M194" s="3"/>
      <c r="N194" s="35"/>
      <c r="O194" s="35"/>
    </row>
    <row r="195" spans="1:15" x14ac:dyDescent="0.25">
      <c r="A195" s="10">
        <v>188</v>
      </c>
      <c r="B195" s="10" t="str">
        <f t="shared" si="5"/>
        <v>PKG-188</v>
      </c>
      <c r="C195" s="4"/>
      <c r="D195" s="26"/>
      <c r="E195" s="26"/>
      <c r="F195" s="5"/>
      <c r="G195" s="2"/>
      <c r="H195" s="3"/>
      <c r="I195" s="3"/>
      <c r="J195" s="3"/>
      <c r="K195" s="3"/>
      <c r="L195" s="35"/>
      <c r="M195" s="3"/>
      <c r="N195" s="35"/>
      <c r="O195" s="35"/>
    </row>
    <row r="196" spans="1:15" x14ac:dyDescent="0.25">
      <c r="A196" s="10">
        <v>189</v>
      </c>
      <c r="B196" s="10" t="str">
        <f t="shared" si="5"/>
        <v>PKG-189</v>
      </c>
      <c r="C196" s="4"/>
      <c r="D196" s="26"/>
      <c r="E196" s="26"/>
      <c r="F196" s="5"/>
      <c r="G196" s="2"/>
      <c r="H196" s="3"/>
      <c r="I196" s="3"/>
      <c r="J196" s="3"/>
      <c r="K196" s="3"/>
      <c r="L196" s="35"/>
      <c r="M196" s="3"/>
      <c r="N196" s="35"/>
      <c r="O196" s="35"/>
    </row>
    <row r="197" spans="1:15" x14ac:dyDescent="0.25">
      <c r="A197" s="10">
        <v>190</v>
      </c>
      <c r="B197" s="10" t="str">
        <f t="shared" si="5"/>
        <v>PKG-190</v>
      </c>
      <c r="C197" s="4"/>
      <c r="D197" s="26"/>
      <c r="E197" s="26"/>
      <c r="F197" s="5"/>
      <c r="G197" s="2"/>
      <c r="H197" s="3"/>
      <c r="I197" s="3"/>
      <c r="J197" s="3"/>
      <c r="K197" s="3"/>
      <c r="L197" s="35"/>
      <c r="M197" s="3"/>
      <c r="N197" s="35"/>
      <c r="O197" s="35"/>
    </row>
    <row r="198" spans="1:15" x14ac:dyDescent="0.25">
      <c r="A198" s="10">
        <v>191</v>
      </c>
      <c r="B198" s="10" t="str">
        <f t="shared" si="5"/>
        <v>PKG-191</v>
      </c>
      <c r="C198" s="4"/>
      <c r="D198" s="26"/>
      <c r="E198" s="26"/>
      <c r="F198" s="5"/>
      <c r="G198" s="2"/>
      <c r="H198" s="3"/>
      <c r="I198" s="3"/>
      <c r="J198" s="3"/>
      <c r="K198" s="3"/>
      <c r="L198" s="35"/>
      <c r="M198" s="3"/>
      <c r="N198" s="35"/>
      <c r="O198" s="35"/>
    </row>
    <row r="199" spans="1:15" x14ac:dyDescent="0.25">
      <c r="A199" s="10">
        <v>192</v>
      </c>
      <c r="B199" s="10" t="str">
        <f t="shared" si="5"/>
        <v>PKG-192</v>
      </c>
      <c r="C199" s="4"/>
      <c r="D199" s="26"/>
      <c r="E199" s="26"/>
      <c r="F199" s="5"/>
      <c r="G199" s="2"/>
      <c r="H199" s="3"/>
      <c r="I199" s="3"/>
      <c r="J199" s="3"/>
      <c r="K199" s="3"/>
      <c r="L199" s="35"/>
      <c r="M199" s="3"/>
      <c r="N199" s="35"/>
      <c r="O199" s="35"/>
    </row>
    <row r="200" spans="1:15" x14ac:dyDescent="0.25">
      <c r="A200" s="10">
        <v>193</v>
      </c>
      <c r="B200" s="10" t="str">
        <f t="shared" ref="B200:B231" si="6">_xlfn.CONCAT("PKG-",A200)</f>
        <v>PKG-193</v>
      </c>
      <c r="C200" s="4"/>
      <c r="D200" s="26"/>
      <c r="E200" s="26"/>
      <c r="F200" s="5"/>
      <c r="G200" s="2"/>
      <c r="H200" s="3"/>
      <c r="I200" s="3"/>
      <c r="J200" s="3"/>
      <c r="K200" s="3"/>
      <c r="L200" s="35"/>
      <c r="M200" s="3"/>
      <c r="N200" s="35"/>
      <c r="O200" s="35"/>
    </row>
    <row r="201" spans="1:15" x14ac:dyDescent="0.25">
      <c r="A201" s="10">
        <v>194</v>
      </c>
      <c r="B201" s="10" t="str">
        <f t="shared" si="6"/>
        <v>PKG-194</v>
      </c>
      <c r="C201" s="4"/>
      <c r="D201" s="26"/>
      <c r="E201" s="26"/>
      <c r="F201" s="5"/>
      <c r="G201" s="2"/>
      <c r="H201" s="3"/>
      <c r="I201" s="3"/>
      <c r="J201" s="3"/>
      <c r="K201" s="3"/>
      <c r="L201" s="35"/>
      <c r="M201" s="3"/>
      <c r="N201" s="35"/>
      <c r="O201" s="35"/>
    </row>
    <row r="202" spans="1:15" x14ac:dyDescent="0.25">
      <c r="A202" s="10">
        <v>195</v>
      </c>
      <c r="B202" s="10" t="str">
        <f t="shared" si="6"/>
        <v>PKG-195</v>
      </c>
      <c r="C202" s="4"/>
      <c r="D202" s="26"/>
      <c r="E202" s="26"/>
      <c r="F202" s="5"/>
      <c r="G202" s="2"/>
      <c r="H202" s="3"/>
      <c r="I202" s="3"/>
      <c r="J202" s="3"/>
      <c r="K202" s="3"/>
      <c r="L202" s="35"/>
      <c r="M202" s="3"/>
      <c r="N202" s="35"/>
      <c r="O202" s="35"/>
    </row>
    <row r="203" spans="1:15" x14ac:dyDescent="0.25">
      <c r="A203" s="10">
        <v>196</v>
      </c>
      <c r="B203" s="10" t="str">
        <f t="shared" si="6"/>
        <v>PKG-196</v>
      </c>
      <c r="C203" s="4"/>
      <c r="D203" s="26"/>
      <c r="E203" s="26"/>
      <c r="F203" s="5"/>
      <c r="G203" s="2"/>
      <c r="H203" s="3"/>
      <c r="I203" s="3"/>
      <c r="J203" s="3"/>
      <c r="K203" s="3"/>
      <c r="L203" s="35"/>
      <c r="M203" s="3"/>
      <c r="N203" s="35"/>
      <c r="O203" s="35"/>
    </row>
    <row r="204" spans="1:15" x14ac:dyDescent="0.25">
      <c r="A204" s="10">
        <v>197</v>
      </c>
      <c r="B204" s="10" t="str">
        <f t="shared" si="6"/>
        <v>PKG-197</v>
      </c>
      <c r="C204" s="4"/>
      <c r="D204" s="26"/>
      <c r="E204" s="26"/>
      <c r="F204" s="5"/>
      <c r="G204" s="2"/>
      <c r="H204" s="3"/>
      <c r="I204" s="3"/>
      <c r="J204" s="3"/>
      <c r="K204" s="3"/>
      <c r="L204" s="35"/>
      <c r="M204" s="3"/>
      <c r="N204" s="35"/>
      <c r="O204" s="35"/>
    </row>
    <row r="205" spans="1:15" x14ac:dyDescent="0.25">
      <c r="A205" s="10">
        <v>198</v>
      </c>
      <c r="B205" s="10" t="str">
        <f t="shared" si="6"/>
        <v>PKG-198</v>
      </c>
      <c r="C205" s="4"/>
      <c r="D205" s="26"/>
      <c r="E205" s="26"/>
      <c r="F205" s="5"/>
      <c r="G205" s="2"/>
      <c r="H205" s="3"/>
      <c r="I205" s="3"/>
      <c r="J205" s="3"/>
      <c r="K205" s="3"/>
      <c r="L205" s="35"/>
      <c r="M205" s="3"/>
      <c r="N205" s="35"/>
      <c r="O205" s="35"/>
    </row>
    <row r="206" spans="1:15" x14ac:dyDescent="0.25">
      <c r="A206" s="10">
        <v>199</v>
      </c>
      <c r="B206" s="10" t="str">
        <f t="shared" si="6"/>
        <v>PKG-199</v>
      </c>
      <c r="C206" s="4"/>
      <c r="D206" s="26"/>
      <c r="E206" s="26"/>
      <c r="F206" s="5"/>
      <c r="G206" s="2"/>
      <c r="H206" s="3"/>
      <c r="I206" s="3"/>
      <c r="J206" s="3"/>
      <c r="K206" s="3"/>
      <c r="L206" s="35"/>
      <c r="M206" s="3"/>
      <c r="N206" s="35"/>
      <c r="O206" s="35"/>
    </row>
    <row r="207" spans="1:15" x14ac:dyDescent="0.25">
      <c r="A207" s="10">
        <v>200</v>
      </c>
      <c r="B207" s="10" t="str">
        <f t="shared" si="6"/>
        <v>PKG-200</v>
      </c>
      <c r="C207" s="4"/>
      <c r="D207" s="26"/>
      <c r="E207" s="26"/>
      <c r="F207" s="5"/>
      <c r="G207" s="2"/>
      <c r="H207" s="3"/>
      <c r="I207" s="3"/>
      <c r="J207" s="3"/>
      <c r="K207" s="3"/>
      <c r="L207" s="35"/>
      <c r="M207" s="3"/>
      <c r="N207" s="35"/>
      <c r="O207" s="35"/>
    </row>
  </sheetData>
  <sortState xmlns:xlrd2="http://schemas.microsoft.com/office/spreadsheetml/2017/richdata2" ref="Q3:Q16">
    <sortCondition ref="Q3:Q16"/>
  </sortState>
  <phoneticPr fontId="11" type="noConversion"/>
  <conditionalFormatting sqref="B8:O207">
    <cfRule type="cellIs" dxfId="6" priority="1" operator="equal">
      <formula>"Opportunity"</formula>
    </cfRule>
    <cfRule type="cellIs" dxfId="5" priority="2" operator="equal">
      <formula>"Cancelled"</formula>
    </cfRule>
    <cfRule type="cellIs" dxfId="4" priority="4" operator="equal">
      <formula>"In Progress"</formula>
    </cfRule>
    <cfRule type="cellIs" dxfId="3" priority="5" operator="equal">
      <formula>"Complete"</formula>
    </cfRule>
    <cfRule type="cellIs" dxfId="2" priority="6" operator="equal">
      <formula>"Risk of Change"</formula>
    </cfRule>
    <cfRule type="cellIs" dxfId="1" priority="7" operator="equal">
      <formula>"On Hold"</formula>
    </cfRule>
  </conditionalFormatting>
  <dataValidations count="6">
    <dataValidation type="list" allowBlank="1" showInputMessage="1" showErrorMessage="1" sqref="M8:M207" xr:uid="{70623D47-3B2E-4FA0-882D-916B2A46261B}">
      <formula1>$V$3:$V$5</formula1>
    </dataValidation>
    <dataValidation type="list" allowBlank="1" showInputMessage="1" showErrorMessage="1" sqref="C8:C207" xr:uid="{11F38AB2-3197-4AE7-A8A3-A66257303DA5}">
      <formula1>$Q$3:$Q$22</formula1>
    </dataValidation>
    <dataValidation type="list" allowBlank="1" showInputMessage="1" showErrorMessage="1" sqref="H8:H207" xr:uid="{60C1823E-16EC-452B-92DC-A7757D75BAE0}">
      <formula1>$T$3:$T$9</formula1>
    </dataValidation>
    <dataValidation type="list" allowBlank="1" showInputMessage="1" showErrorMessage="1" sqref="J8:K207" xr:uid="{DDFC3FC7-3915-8347-ACB5-0E7A6011C476}">
      <formula1>$V$3:$V$7</formula1>
    </dataValidation>
    <dataValidation type="list" allowBlank="1" showInputMessage="1" showErrorMessage="1" sqref="I8:I207" xr:uid="{484F99C6-55B6-4A78-81BD-86B73DD186ED}">
      <formula1>$U$3:$U$9</formula1>
    </dataValidation>
    <dataValidation type="list" allowBlank="1" showInputMessage="1" showErrorMessage="1" sqref="E8:E207" xr:uid="{7B4723F0-88EA-4D36-AFC1-5E5846B0DF1F}">
      <formula1>$S$3:$S$10</formula1>
    </dataValidation>
  </dataValidations>
  <pageMargins left="0.7" right="0.7" top="0.75" bottom="0.75" header="0.3" footer="0.3"/>
  <pageSetup paperSize="3" scale="49" fitToHeight="0" orientation="landscape" r:id="rId1"/>
  <headerFooter>
    <oddFooter>&amp;L&amp;"Arial,Regular"&amp;8&amp;K00-024LS-402-TEM-0003 Rev 0&amp;R&amp;"Arial,Regular"&amp;9Page &amp;P of &amp;N</oddFoot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CB3C630FF65624499F749EC66C1185AC" ma:contentTypeVersion="10" ma:contentTypeDescription="Create a new document." ma:contentTypeScope="" ma:versionID="553a56db8676a6cb07917439e8565749">
  <xsd:schema xmlns:xsd="http://www.w3.org/2001/XMLSchema" xmlns:xs="http://www.w3.org/2001/XMLSchema" xmlns:p="http://schemas.microsoft.com/office/2006/metadata/properties" xmlns:ns2="561a0e3a-f299-4d4e-a87f-985d3701e0e9" xmlns:ns3="484a0387-d67d-4fa5-b096-bbc0a49a971b" targetNamespace="http://schemas.microsoft.com/office/2006/metadata/properties" ma:root="true" ma:fieldsID="a6b0540c43c10e474e191340845788ef" ns2:_="" ns3:_="">
    <xsd:import namespace="561a0e3a-f299-4d4e-a87f-985d3701e0e9"/>
    <xsd:import namespace="484a0387-d67d-4fa5-b096-bbc0a49a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a0e3a-f299-4d4e-a87f-985d3701e0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5d8c11d-5648-4d10-991c-36bd1f6bbc0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4a0387-d67d-4fa5-b096-bbc0a49a971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20d1ffa-df50-4be3-abfb-19bab2d73b0c}" ma:internalName="TaxCatchAll" ma:showField="CatchAllData" ma:web="484a0387-d67d-4fa5-b096-bbc0a49a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84a0387-d67d-4fa5-b096-bbc0a49a971b" xsi:nil="true"/>
    <lcf76f155ced4ddcb4097134ff3c332f xmlns="561a0e3a-f299-4d4e-a87f-985d3701e0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CA6F74-3862-4841-BD2D-32281B0A3EF4}">
  <ds:schemaRefs>
    <ds:schemaRef ds:uri="http://schemas.microsoft.com/sharepoint/v3/contenttype/forms"/>
  </ds:schemaRefs>
</ds:datastoreItem>
</file>

<file path=customXml/itemProps2.xml><?xml version="1.0" encoding="utf-8"?>
<ds:datastoreItem xmlns:ds="http://schemas.openxmlformats.org/officeDocument/2006/customXml" ds:itemID="{0D2283A1-F276-4868-AEEF-19A703D03D39}">
  <ds:schemaRefs>
    <ds:schemaRef ds:uri="http://schemas.microsoft.com/DataMashup"/>
  </ds:schemaRefs>
</ds:datastoreItem>
</file>

<file path=customXml/itemProps3.xml><?xml version="1.0" encoding="utf-8"?>
<ds:datastoreItem xmlns:ds="http://schemas.openxmlformats.org/officeDocument/2006/customXml" ds:itemID="{D27A4049-C15B-42DF-84C1-B1AA9150BB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a0e3a-f299-4d4e-a87f-985d3701e0e9"/>
    <ds:schemaRef ds:uri="484a0387-d67d-4fa5-b096-bbc0a49a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03E2749-DD41-4FCE-9C2F-1456AC665FF3}">
  <ds:schemaRefs>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purl.org/dc/dcmitype/"/>
    <ds:schemaRef ds:uri="http://www.w3.org/XML/1998/namespace"/>
    <ds:schemaRef ds:uri="http://purl.org/dc/terms/"/>
    <ds:schemaRef ds:uri="df589c9e-b971-49ed-b9b0-772232c490cd"/>
    <ds:schemaRef ds:uri="http://schemas.microsoft.com/office/infopath/2007/PartnerControls"/>
    <ds:schemaRef ds:uri="http://schemas.microsoft.com/sharepoint/v3/fields"/>
    <ds:schemaRef ds:uri="571d2180-0790-4fa3-aa5f-c056b54cc5ad"/>
    <ds:schemaRef ds:uri="484a0387-d67d-4fa5-b096-bbc0a49a971b"/>
    <ds:schemaRef ds:uri="561a0e3a-f299-4d4e-a87f-985d3701e0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RAIL</vt:lpstr>
      <vt:lpstr>RAIL!Print_Area</vt:lpstr>
      <vt:lpstr>RAIL!Print_Titles</vt:lpstr>
    </vt:vector>
  </TitlesOfParts>
  <Manager>Dustin.Edgren@laurenec.com</Manager>
  <Company>Lauren EC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Tracker</dc:title>
  <dc:subject/>
  <dc:creator>Terry.Brar@laurenec.com</dc:creator>
  <cp:keywords/>
  <dc:description/>
  <cp:lastModifiedBy>Ryan Tufts</cp:lastModifiedBy>
  <cp:revision/>
  <cp:lastPrinted>2025-10-20T03:51:55Z</cp:lastPrinted>
  <dcterms:created xsi:type="dcterms:W3CDTF">2009-06-01T17:21:22Z</dcterms:created>
  <dcterms:modified xsi:type="dcterms:W3CDTF">2026-06-22T19:49:28Z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0x010100CB3C630FF65624499F749EC66C1185AC</vt:lpwstr>
  </property>
  <property fmtid="{D5CDD505-2E9C-101B-9397-08002B2CF9AE}" pid="3" name="Document Type">
    <vt:lpwstr>31;#Template|2b609bee-a553-4df7-8381-48ca85cb3d32</vt:lpwstr>
  </property>
  <property fmtid="{D5CDD505-2E9C-101B-9397-08002B2CF9AE}" pid="4" name="Order">
    <vt:r8>1000</vt:r8>
  </property>
  <property fmtid="{D5CDD505-2E9C-101B-9397-08002B2CF9AE}" pid="5" name="xd_Signature">
    <vt:bool>false</vt:bool>
  </property>
  <property fmtid="{D5CDD505-2E9C-101B-9397-08002B2CF9AE}" pid="6" name="k03e05040e6d4b8289d6a23a6e85a8e5">
    <vt:lpwstr>Templates|3a3ee654-f7b4-4291-a83c-98ff08825de2</vt:lpwstr>
  </property>
  <property fmtid="{D5CDD505-2E9C-101B-9397-08002B2CF9AE}" pid="7" name="xd_ProgID">
    <vt:lpwstr/>
  </property>
  <property fmtid="{D5CDD505-2E9C-101B-9397-08002B2CF9AE}" pid="8" name="_ExtendedDescription">
    <vt:lpwstr/>
  </property>
  <property fmtid="{D5CDD505-2E9C-101B-9397-08002B2CF9AE}" pid="9" name="TriggerFlowInfo">
    <vt:lpwstr/>
  </property>
  <property fmtid="{D5CDD505-2E9C-101B-9397-08002B2CF9AE}" pid="10" name="ComplianceAssetId">
    <vt:lpwstr/>
  </property>
  <property fmtid="{D5CDD505-2E9C-101B-9397-08002B2CF9AE}" pid="11" name="TemplateUrl">
    <vt:lpwstr/>
  </property>
  <property fmtid="{D5CDD505-2E9C-101B-9397-08002B2CF9AE}" pid="12" name="Document Number">
    <vt:lpwstr>10-402-TEM-0003</vt:lpwstr>
  </property>
  <property fmtid="{D5CDD505-2E9C-101B-9397-08002B2CF9AE}" pid="13" name="dbc2c87f7a9a4e81b11cf1381393b62e">
    <vt:lpwstr>Template|2b609bee-a553-4df7-8381-48ca85cb3d32</vt:lpwstr>
  </property>
  <property fmtid="{D5CDD505-2E9C-101B-9397-08002B2CF9AE}" pid="14" name="MediaServiceImageTags">
    <vt:lpwstr/>
  </property>
  <property fmtid="{D5CDD505-2E9C-101B-9397-08002B2CF9AE}" pid="15" name="Document_x0020_Type">
    <vt:lpwstr>31;#Template|2b609bee-a553-4df7-8381-48ca85cb3d32</vt:lpwstr>
  </property>
</Properties>
</file>